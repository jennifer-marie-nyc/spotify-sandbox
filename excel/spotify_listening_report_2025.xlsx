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nnifermitchell/Documents/projects/projects_2025/analytics_projects/Spotify_Sandbox/spotify_sandbox_github/excel/"/>
    </mc:Choice>
  </mc:AlternateContent>
  <xr:revisionPtr revIDLastSave="0" documentId="13_ncr:1_{601AECFD-65A5-B840-BBC2-C1B98DC39ABE}" xr6:coauthVersionLast="47" xr6:coauthVersionMax="47" xr10:uidLastSave="{00000000-0000-0000-0000-000000000000}"/>
  <bookViews>
    <workbookView xWindow="33980" yWindow="-1460" windowWidth="31440" windowHeight="20400" activeTab="2" xr2:uid="{02962024-D185-E646-89C4-A67A4B8F8E62}"/>
  </bookViews>
  <sheets>
    <sheet name="2025 Overview" sheetId="13" r:id="rId1"/>
    <sheet name="Top Artists Over Time" sheetId="32" r:id="rId2"/>
    <sheet name="Top 5 Chart" sheetId="33" r:id="rId3"/>
    <sheet name="Jan" sheetId="23" r:id="rId4"/>
    <sheet name="Feb" sheetId="24" r:id="rId5"/>
    <sheet name="Mar" sheetId="25" r:id="rId6"/>
    <sheet name="Apr" sheetId="26" r:id="rId7"/>
    <sheet name="May" sheetId="27" r:id="rId8"/>
    <sheet name="Jun" sheetId="28" r:id="rId9"/>
    <sheet name="Jul" sheetId="29" r:id="rId10"/>
    <sheet name="Aug" sheetId="30" r:id="rId11"/>
    <sheet name="Sep" sheetId="31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32" l="1"/>
  <c r="N28" i="32" s="1"/>
  <c r="K27" i="32"/>
  <c r="N27" i="32" s="1"/>
  <c r="K26" i="32"/>
  <c r="N26" i="32" s="1"/>
  <c r="K25" i="32"/>
  <c r="N25" i="32" s="1"/>
  <c r="K24" i="32"/>
  <c r="N24" i="32" s="1"/>
  <c r="K23" i="32"/>
  <c r="N23" i="32" s="1"/>
  <c r="K22" i="32"/>
  <c r="N22" i="32" s="1"/>
  <c r="K21" i="32"/>
  <c r="N21" i="32" s="1"/>
  <c r="K20" i="32"/>
  <c r="N20" i="32" s="1"/>
  <c r="K19" i="32"/>
  <c r="N19" i="32" s="1"/>
  <c r="K18" i="32"/>
  <c r="N18" i="32" s="1"/>
  <c r="K17" i="32"/>
  <c r="N17" i="32" s="1"/>
  <c r="K16" i="32"/>
  <c r="N16" i="32" s="1"/>
  <c r="K15" i="32"/>
  <c r="N15" i="32" s="1"/>
  <c r="K14" i="32"/>
  <c r="N14" i="32" s="1"/>
  <c r="K13" i="32"/>
  <c r="N13" i="32" s="1"/>
  <c r="K12" i="32"/>
  <c r="N12" i="32" s="1"/>
  <c r="K11" i="32"/>
  <c r="N11" i="32" s="1"/>
  <c r="K10" i="32"/>
  <c r="N10" i="32" s="1"/>
  <c r="K9" i="32"/>
  <c r="N9" i="32" s="1"/>
  <c r="K8" i="32"/>
  <c r="N8" i="32" s="1"/>
  <c r="K7" i="32"/>
  <c r="N7" i="32" s="1"/>
  <c r="K6" i="32"/>
  <c r="N6" i="32" s="1"/>
  <c r="K5" i="32"/>
  <c r="N5" i="32" s="1"/>
  <c r="K4" i="32"/>
  <c r="N4" i="32" s="1"/>
</calcChain>
</file>

<file path=xl/sharedStrings.xml><?xml version="1.0" encoding="utf-8"?>
<sst xmlns="http://schemas.openxmlformats.org/spreadsheetml/2006/main" count="1599" uniqueCount="435">
  <si>
    <t>Based on Spotify Extended Streaming History Time Listened (Music Only)</t>
  </si>
  <si>
    <t>Aggregated from 2025 streaming logs using Excel Pivot Tables and custom cleaning</t>
  </si>
  <si>
    <t>Rank</t>
  </si>
  <si>
    <t>Artist</t>
  </si>
  <si>
    <t>Hours Played</t>
  </si>
  <si>
    <t>Father John Misty</t>
  </si>
  <si>
    <t>Vampire Weekend</t>
  </si>
  <si>
    <t>Ozzy Osbourne</t>
  </si>
  <si>
    <t>Kurt Vile</t>
  </si>
  <si>
    <t>Jack White</t>
  </si>
  <si>
    <t>Taylor Swift</t>
  </si>
  <si>
    <t>Bella White</t>
  </si>
  <si>
    <t>Lucius</t>
  </si>
  <si>
    <t>Destroyer</t>
  </si>
  <si>
    <t>HAIM</t>
  </si>
  <si>
    <t>Florence + The Machine</t>
  </si>
  <si>
    <t>Gillian Welch</t>
  </si>
  <si>
    <t>Spoon</t>
  </si>
  <si>
    <t>Black Sabbath</t>
  </si>
  <si>
    <t>Nick Drake</t>
  </si>
  <si>
    <t>The White Stripes</t>
  </si>
  <si>
    <t>The War On Drugs</t>
  </si>
  <si>
    <t>Hayley Williams</t>
  </si>
  <si>
    <t>Neil Young</t>
  </si>
  <si>
    <t>Waxahatchee</t>
  </si>
  <si>
    <t>Wilco</t>
  </si>
  <si>
    <t>MGMT</t>
  </si>
  <si>
    <t>Paul Simon</t>
  </si>
  <si>
    <t>Christine and the Queens</t>
  </si>
  <si>
    <t>MARINA</t>
  </si>
  <si>
    <t>Pink Floyd</t>
  </si>
  <si>
    <t>Purity Ring</t>
  </si>
  <si>
    <t>Courtney Barnett</t>
  </si>
  <si>
    <t>Big Thief</t>
  </si>
  <si>
    <t>Jonathan Wilson</t>
  </si>
  <si>
    <t>Pixies</t>
  </si>
  <si>
    <t>The Velvet Underground</t>
  </si>
  <si>
    <t>Kacey Musgraves</t>
  </si>
  <si>
    <t>Phoenix</t>
  </si>
  <si>
    <t>Drive-By Truckers</t>
  </si>
  <si>
    <t>Allie X</t>
  </si>
  <si>
    <t>Margo Price</t>
  </si>
  <si>
    <t>The Beths</t>
  </si>
  <si>
    <t>Van Morrison</t>
  </si>
  <si>
    <t>Margo Cilker</t>
  </si>
  <si>
    <t>Lambchop</t>
  </si>
  <si>
    <t>Brandi Carlile</t>
  </si>
  <si>
    <t>Carly Rae Jepsen</t>
  </si>
  <si>
    <t>Lord Huron</t>
  </si>
  <si>
    <t>Grateful Dead</t>
  </si>
  <si>
    <t>The 1975</t>
  </si>
  <si>
    <t>Oasis</t>
  </si>
  <si>
    <t>Camera Obscura</t>
  </si>
  <si>
    <t>The Jesus and Mary Chain</t>
  </si>
  <si>
    <t>Paramore</t>
  </si>
  <si>
    <t>Indigo Girls</t>
  </si>
  <si>
    <t>Yo La Tengo</t>
  </si>
  <si>
    <t>Lake Street Dive</t>
  </si>
  <si>
    <t>Arcade Fire</t>
  </si>
  <si>
    <t>Chappell Roan</t>
  </si>
  <si>
    <t>Mazzy Star</t>
  </si>
  <si>
    <t>Fleet Foxes</t>
  </si>
  <si>
    <t>Esther Rose</t>
  </si>
  <si>
    <t>Weyes Blood</t>
  </si>
  <si>
    <t>Nick Cave &amp; The Bad Seeds</t>
  </si>
  <si>
    <t>Dirty Projectors</t>
  </si>
  <si>
    <t>Rodríguez</t>
  </si>
  <si>
    <t>Jenny Lewis</t>
  </si>
  <si>
    <t>Judee Sill</t>
  </si>
  <si>
    <t>Lady Gaga</t>
  </si>
  <si>
    <t>Jackson C. Frank</t>
  </si>
  <si>
    <t>Beth Gibbons</t>
  </si>
  <si>
    <t>George Michael</t>
  </si>
  <si>
    <t>Sun Kil Moon</t>
  </si>
  <si>
    <t>Mk.gee</t>
  </si>
  <si>
    <t>Lana Del Rey</t>
  </si>
  <si>
    <t>Mild High Club</t>
  </si>
  <si>
    <t>MJ Lenderman</t>
  </si>
  <si>
    <t>Tame Impala</t>
  </si>
  <si>
    <t>Anna Tivel</t>
  </si>
  <si>
    <t>Alvvays</t>
  </si>
  <si>
    <t>Dave Matthews Band</t>
  </si>
  <si>
    <t>The Raconteurs</t>
  </si>
  <si>
    <t>Brian Eno</t>
  </si>
  <si>
    <t>Angel Olsen</t>
  </si>
  <si>
    <t>Graham Nash</t>
  </si>
  <si>
    <t>My Morning Jacket</t>
  </si>
  <si>
    <t>Jessica Pratt</t>
  </si>
  <si>
    <t>Beach House</t>
  </si>
  <si>
    <t>PJ Harvey</t>
  </si>
  <si>
    <t>Joni Mitchell</t>
  </si>
  <si>
    <t>Jon Hopkins</t>
  </si>
  <si>
    <t>Grace Potter</t>
  </si>
  <si>
    <t>Luke Roberts</t>
  </si>
  <si>
    <t>The Cars</t>
  </si>
  <si>
    <t>Khruangbin</t>
  </si>
  <si>
    <t>Strand of Oaks</t>
  </si>
  <si>
    <t>The Blue Nile</t>
  </si>
  <si>
    <t>Beck</t>
  </si>
  <si>
    <t>The Secret Sisters</t>
  </si>
  <si>
    <t>St. Vincent</t>
  </si>
  <si>
    <t>Billy Morrison</t>
  </si>
  <si>
    <t>Sierra Ferrell</t>
  </si>
  <si>
    <t>Billy Strings</t>
  </si>
  <si>
    <t>Magdalena Bay</t>
  </si>
  <si>
    <t>DJ Koze</t>
  </si>
  <si>
    <t>Jerry Garcia Band</t>
  </si>
  <si>
    <t>Men I Trust</t>
  </si>
  <si>
    <t>The Rolling Stones</t>
  </si>
  <si>
    <t>Mdou Moctar</t>
  </si>
  <si>
    <t>Vetiver</t>
  </si>
  <si>
    <t>This Is The Kit</t>
  </si>
  <si>
    <t>Wham!</t>
  </si>
  <si>
    <t>Valerie June</t>
  </si>
  <si>
    <t>Los Bitchos</t>
  </si>
  <si>
    <t>Plants and Animals</t>
  </si>
  <si>
    <t>Rival Consoles</t>
  </si>
  <si>
    <t>Nala Sinephro</t>
  </si>
  <si>
    <t>Seb Wildblood</t>
  </si>
  <si>
    <t>Japanese Breakfast</t>
  </si>
  <si>
    <t>Lou Reed</t>
  </si>
  <si>
    <t>Thomas Gray &amp; Liam Ebbs</t>
  </si>
  <si>
    <t>Daisy Jones &amp; The Six</t>
  </si>
  <si>
    <t>Kelly Moran</t>
  </si>
  <si>
    <t>Ava Rasti</t>
  </si>
  <si>
    <t>Max Cooper</t>
  </si>
  <si>
    <t>The Killers</t>
  </si>
  <si>
    <t>Top Artists</t>
  </si>
  <si>
    <t>Minutes Played</t>
  </si>
  <si>
    <t>The Cure</t>
  </si>
  <si>
    <t>2025 Spotify Listening -- Jan 1 to Oct 15, 2025</t>
  </si>
  <si>
    <t>Top Tracks</t>
  </si>
  <si>
    <t>Top Albums</t>
  </si>
  <si>
    <t>Mahashmashana</t>
  </si>
  <si>
    <t>Mental Health</t>
  </si>
  <si>
    <t>Blizzard Of Ozz</t>
  </si>
  <si>
    <t>She Cleans Up</t>
  </si>
  <si>
    <t>Father of the Bride</t>
  </si>
  <si>
    <t>Bassackwards</t>
  </si>
  <si>
    <t>No Name</t>
  </si>
  <si>
    <t>Goodbye to Romance</t>
  </si>
  <si>
    <t>Only God Was Above Us</t>
  </si>
  <si>
    <t>I Guess Time Just Makes Fools of Us All</t>
  </si>
  <si>
    <t>Bottle It In</t>
  </si>
  <si>
    <t>Harmony Hall</t>
  </si>
  <si>
    <t>Pure Comedy</t>
  </si>
  <si>
    <t>Unknown Legend</t>
  </si>
  <si>
    <t>God's Favorite Customer</t>
  </si>
  <si>
    <t>I Don't Know</t>
  </si>
  <si>
    <t>I quit</t>
  </si>
  <si>
    <t>Crazy Train</t>
  </si>
  <si>
    <t>Modern Vampires of the City</t>
  </si>
  <si>
    <t>Screamland</t>
  </si>
  <si>
    <t>Fear Fun</t>
  </si>
  <si>
    <t>It's Rough On Rats (If You're Asking)</t>
  </si>
  <si>
    <t>Paranoid</t>
  </si>
  <si>
    <t>Cecil Taylor</t>
  </si>
  <si>
    <t>Ice Cream Piano</t>
  </si>
  <si>
    <t>A Deeper Understanding</t>
  </si>
  <si>
    <t>Wakin on a Pretty Day</t>
  </si>
  <si>
    <t>Mr. Crowley</t>
  </si>
  <si>
    <t>Dance Fever</t>
  </si>
  <si>
    <t>This Life</t>
  </si>
  <si>
    <t>Among Other Things</t>
  </si>
  <si>
    <t>Josh Tillman and the Accidental Dose</t>
  </si>
  <si>
    <t>(watch my moves)</t>
  </si>
  <si>
    <t>I'm Writing a Novel</t>
  </si>
  <si>
    <t>THE TORTURED POETS DEPARTMENT: THE ANTHOLOGY</t>
  </si>
  <si>
    <t>Funtimes in Babylon</t>
  </si>
  <si>
    <t>Contra</t>
  </si>
  <si>
    <t>Suicide Solution</t>
  </si>
  <si>
    <t>Chloë and the Next 20th Century</t>
  </si>
  <si>
    <t>Hand of Doom - 2012 - Remaster</t>
  </si>
  <si>
    <t>The Ultimate Sin</t>
  </si>
  <si>
    <t>One Trick Ponies</t>
  </si>
  <si>
    <t>The Harrow &amp; The Harvest</t>
  </si>
  <si>
    <t>Old Scratch Blues</t>
  </si>
  <si>
    <t>I Love You, Honeybear</t>
  </si>
  <si>
    <t>Archbishop Harold Holmes</t>
  </si>
  <si>
    <t>Woodland</t>
  </si>
  <si>
    <t>Holy Shit</t>
  </si>
  <si>
    <t>Kaputt</t>
  </si>
  <si>
    <t>Unbearably White</t>
  </si>
  <si>
    <t>Harvest Moon</t>
  </si>
  <si>
    <t>Stranger Danger</t>
  </si>
  <si>
    <t>Good Grief</t>
  </si>
  <si>
    <t>You Can Call Me Al</t>
  </si>
  <si>
    <t>Graceland (25th Anniversary Deluxe Edition)</t>
  </si>
  <si>
    <t>Rhododendron</t>
  </si>
  <si>
    <t>PRINCESS OF POWER</t>
  </si>
  <si>
    <t>Dusty Trails</t>
  </si>
  <si>
    <t>Just Like Leaving</t>
  </si>
  <si>
    <t>Ballad of the Dying Man</t>
  </si>
  <si>
    <t>Lucifer On The Sofa</t>
  </si>
  <si>
    <t>Just Dumb Enough to Try</t>
  </si>
  <si>
    <t>Ga Ga Ga Ga Ga</t>
  </si>
  <si>
    <t>Step</t>
  </si>
  <si>
    <t>Five For Silver</t>
  </si>
  <si>
    <t>Unbelievers</t>
  </si>
  <si>
    <t>Tigers Blood</t>
  </si>
  <si>
    <t>Mary Boone</t>
  </si>
  <si>
    <t>Chris</t>
  </si>
  <si>
    <t>Classical</t>
  </si>
  <si>
    <t>Destroyer's Rubies</t>
  </si>
  <si>
    <t>Connect</t>
  </si>
  <si>
    <t>Midnights</t>
  </si>
  <si>
    <t>Ego Death At A Bachelorette Party</t>
  </si>
  <si>
    <t>I'll Find A Way (To Carry It All)</t>
  </si>
  <si>
    <t>Wakin On A Pretty Daze</t>
  </si>
  <si>
    <t>That's How I'm Feeling</t>
  </si>
  <si>
    <t>Five Leaves Left</t>
  </si>
  <si>
    <t>Everybody's trying to figure me out</t>
  </si>
  <si>
    <t>Jack White Acoustic Recordings 1998 - 2016</t>
  </si>
  <si>
    <t>Capricorn</t>
  </si>
  <si>
    <t>Lotta Sea Lice</t>
  </si>
  <si>
    <t>Leaving LA</t>
  </si>
  <si>
    <t>Loss Of Life</t>
  </si>
  <si>
    <t>Now You See It (Now You Don't)</t>
  </si>
  <si>
    <t>Get Behind Me Satan</t>
  </si>
  <si>
    <t>When the God of Love Returns There'll Be Hell to Pay</t>
  </si>
  <si>
    <t>Dragon New Warm Mountain I Believe In You</t>
  </si>
  <si>
    <t>You're No Different</t>
  </si>
  <si>
    <t>How Big, How Blue, How Beautiful</t>
  </si>
  <si>
    <t>Thinking of a Place</t>
  </si>
  <si>
    <t>Wolfgang Amadeus Phoenix</t>
  </si>
  <si>
    <t>What's The Rumpus?</t>
  </si>
  <si>
    <t>Bryter Layter</t>
  </si>
  <si>
    <t>Loading Zones</t>
  </si>
  <si>
    <t>Fanfare</t>
  </si>
  <si>
    <t>Nobody Dies Anymore</t>
  </si>
  <si>
    <t>Elephant</t>
  </si>
  <si>
    <t>Jack the Stripper / Fairies Wear Boots - 2012 - Remaster</t>
  </si>
  <si>
    <t>Stranger</t>
  </si>
  <si>
    <t>Wish You Were Here</t>
  </si>
  <si>
    <t>Hope</t>
  </si>
  <si>
    <t>Electric Funeral - 2012 - Remaster</t>
  </si>
  <si>
    <t>purity ring</t>
  </si>
  <si>
    <t>Bless Yourself</t>
  </si>
  <si>
    <t>The Life of a Showgirl</t>
  </si>
  <si>
    <t>Date Night</t>
  </si>
  <si>
    <t>Something to Tell You</t>
  </si>
  <si>
    <t>Down to be wrong</t>
  </si>
  <si>
    <t>Yankee Hotel Foxtrot</t>
  </si>
  <si>
    <t>Like Exploding Stones</t>
  </si>
  <si>
    <t>Diary Of A Madman</t>
  </si>
  <si>
    <t>Mr. Tillman</t>
  </si>
  <si>
    <t>another eternity</t>
  </si>
  <si>
    <t>Total Entertainment Forever</t>
  </si>
  <si>
    <t>Girl With No Face</t>
  </si>
  <si>
    <t>Iron Man - 2012 - Remaster</t>
  </si>
  <si>
    <t>Southern Rock Opera</t>
  </si>
  <si>
    <t>Gone</t>
  </si>
  <si>
    <t>Your Blues</t>
  </si>
  <si>
    <t>Revelation (Mother Earth)</t>
  </si>
  <si>
    <t>NUDES</t>
  </si>
  <si>
    <t>War Pigs / Luke's Wall - 2012 - Remaster</t>
  </si>
  <si>
    <t>Bark at the Moon</t>
  </si>
  <si>
    <t>Ceremonials</t>
  </si>
  <si>
    <t>Poison Season</t>
  </si>
  <si>
    <t>Tonight (Was A Long Time Ago)</t>
  </si>
  <si>
    <t>Psychocandy</t>
  </si>
  <si>
    <t>Don't Lie</t>
  </si>
  <si>
    <t>Entering Heaven Alive</t>
  </si>
  <si>
    <t>Being You</t>
  </si>
  <si>
    <t>Harvest</t>
  </si>
  <si>
    <t>The Surfer</t>
  </si>
  <si>
    <t>Future Me Hates Me</t>
  </si>
  <si>
    <t>The Way I Oughta Go</t>
  </si>
  <si>
    <t>The Firewatcher's Daughter</t>
  </si>
  <si>
    <t>Rock 'n' Roll Rebel</t>
  </si>
  <si>
    <t>Saint Cloud</t>
  </si>
  <si>
    <t>Pravda</t>
  </si>
  <si>
    <t>Wildewoman</t>
  </si>
  <si>
    <t>Strays</t>
  </si>
  <si>
    <t>Gold Rush</t>
  </si>
  <si>
    <t>I Can Hear The Heart Beating As One</t>
  </si>
  <si>
    <t>Do It All For You</t>
  </si>
  <si>
    <t>The Loveliest Time</t>
  </si>
  <si>
    <t>Prep-School Gangsters</t>
  </si>
  <si>
    <t>Astral Weeks</t>
  </si>
  <si>
    <t>Painter in Your Pocket</t>
  </si>
  <si>
    <t>The Cosmic Selector Vol. 1</t>
  </si>
  <si>
    <t>Take Me Back</t>
  </si>
  <si>
    <t>Surfer Rosa</t>
  </si>
  <si>
    <t>You Looking at Me, Looking at You</t>
  </si>
  <si>
    <t>(What's The Story) Morning Glory?</t>
  </si>
  <si>
    <t>Crowbar</t>
  </si>
  <si>
    <t>We're Only People (And There's Not Much Anyone Can Do About That)</t>
  </si>
  <si>
    <t>Valley Of Heart's Delight</t>
  </si>
  <si>
    <t>Jesus, Etc. - 2022 Remaster</t>
  </si>
  <si>
    <t>Chateau Blues</t>
  </si>
  <si>
    <t>Hangout at the Gallows</t>
  </si>
  <si>
    <t>Being Funny In A Foreign Language</t>
  </si>
  <si>
    <t>Hysteria</t>
  </si>
  <si>
    <t>So Tonight That I Might See</t>
  </si>
  <si>
    <t>Hannah Hunt</t>
  </si>
  <si>
    <t>Nancy From Now On</t>
  </si>
  <si>
    <t>Underground</t>
  </si>
  <si>
    <t>Morning Elvis</t>
  </si>
  <si>
    <t>Pink Moon</t>
  </si>
  <si>
    <t>Impressions (feat. Madison Cunningham)</t>
  </si>
  <si>
    <t>reputation</t>
  </si>
  <si>
    <t>Sweet Jane - Full Length Version; 2015 Remaster</t>
  </si>
  <si>
    <t>b'lieve i'm goin down...</t>
  </si>
  <si>
    <t>Steal Away (The Night)</t>
  </si>
  <si>
    <t>Lazaretto</t>
  </si>
  <si>
    <t>Things It Would Have Been Helpful to Know Before the Revolution</t>
  </si>
  <si>
    <t>Schmilco</t>
  </si>
  <si>
    <t>Diane Young</t>
  </si>
  <si>
    <t>Sky Blue Sky</t>
  </si>
  <si>
    <t>Lost In The Dream</t>
  </si>
  <si>
    <t>Fear Is Like a Forest</t>
  </si>
  <si>
    <t>Titanic Rising</t>
  </si>
  <si>
    <t>Rollin With The Flow</t>
  </si>
  <si>
    <t>Brand New Eyes</t>
  </si>
  <si>
    <t>Track Name</t>
  </si>
  <si>
    <t>Album Title</t>
  </si>
  <si>
    <t>2025 Spotify Listening -- January 2025</t>
  </si>
  <si>
    <t>Month Summary</t>
  </si>
  <si>
    <t>Aggregated from extended streaming logs</t>
  </si>
  <si>
    <t>By Artist</t>
  </si>
  <si>
    <t>Never Let Me Go - Live At Madison Square Garden</t>
  </si>
  <si>
    <t>Third Eye</t>
  </si>
  <si>
    <t>Doesn't matter</t>
  </si>
  <si>
    <t>Check Baby</t>
  </si>
  <si>
    <t>In Chains</t>
  </si>
  <si>
    <t>Delilah</t>
  </si>
  <si>
    <t>Was All Talk</t>
  </si>
  <si>
    <t>You Don't Have to Go</t>
  </si>
  <si>
    <t>Strangest Thing</t>
  </si>
  <si>
    <t>Clean Living</t>
  </si>
  <si>
    <t>Morning Elvis - Live At Denver Ball Arena</t>
  </si>
  <si>
    <t>Up All Night</t>
  </si>
  <si>
    <t>Bark At The Moon</t>
  </si>
  <si>
    <t>1989 (Both Versions)</t>
  </si>
  <si>
    <t>Loaded</t>
  </si>
  <si>
    <t>Deeper Well</t>
  </si>
  <si>
    <t>The Dark Side of the Moon</t>
  </si>
  <si>
    <t>Two Star &amp; The Dream Police</t>
  </si>
  <si>
    <t>Bitte Orca</t>
  </si>
  <si>
    <t>High As Hope</t>
  </si>
  <si>
    <t>2025 Spotify Listening -- February 2025</t>
  </si>
  <si>
    <t>2025 Spotify Listening -- March 2025</t>
  </si>
  <si>
    <t>Suicide Demo for Kara Walker</t>
  </si>
  <si>
    <t>Rubies</t>
  </si>
  <si>
    <t>Looters' Follies</t>
  </si>
  <si>
    <t>Blue Eyes</t>
  </si>
  <si>
    <t>Concrete And Barbed Wire</t>
  </si>
  <si>
    <t>2025 Spotify Listening -- May 2025</t>
  </si>
  <si>
    <t>Old Tape</t>
  </si>
  <si>
    <t>Final Days</t>
  </si>
  <si>
    <t>The Way It Will Be</t>
  </si>
  <si>
    <t>Mad Love</t>
  </si>
  <si>
    <t>Hard Times</t>
  </si>
  <si>
    <t>Hallways</t>
  </si>
  <si>
    <t>The Way The Whole Thing Ends</t>
  </si>
  <si>
    <t>Three Hours</t>
  </si>
  <si>
    <t>Everything Is Free</t>
  </si>
  <si>
    <t>The Way It Goes</t>
  </si>
  <si>
    <t>Soul Journey</t>
  </si>
  <si>
    <t>Down Along The Dixie Line</t>
  </si>
  <si>
    <t>Time (The Revelator)</t>
  </si>
  <si>
    <t>2025 Spotify Listening -- June 2025</t>
  </si>
  <si>
    <t>Desert Raven</t>
  </si>
  <si>
    <t>On The Radio</t>
  </si>
  <si>
    <t>The Underdog</t>
  </si>
  <si>
    <t>You May Be Blue</t>
  </si>
  <si>
    <t>Natural Beauty</t>
  </si>
  <si>
    <t>The Front Door</t>
  </si>
  <si>
    <t>Gentle Spirit</t>
  </si>
  <si>
    <t>Peggy O - Live at Palladium, New York, NY, April 30, 1977</t>
  </si>
  <si>
    <t>The Link Is About to Die</t>
  </si>
  <si>
    <t>Love That Boy</t>
  </si>
  <si>
    <t>Moonshine Freeze</t>
  </si>
  <si>
    <t>Out on the Weekend</t>
  </si>
  <si>
    <t>2025 Spotify Listening -- July 2025</t>
  </si>
  <si>
    <t>classic love</t>
  </si>
  <si>
    <t>Planet Caravan - 2012 - Remaster</t>
  </si>
  <si>
    <t>Paranoid - 2012 - Remaster</t>
  </si>
  <si>
    <t>Wasp / Behind the Wall of Sleep / Bassically / N.I.B. - 2014 Remaster</t>
  </si>
  <si>
    <t>Skiptracing</t>
  </si>
  <si>
    <t>The farm</t>
  </si>
  <si>
    <t>2025 Spotify Listening -- August 2025</t>
  </si>
  <si>
    <t>Rock &amp; Roll - Full Length Version; 2015 Remaster</t>
  </si>
  <si>
    <t>No More Tears</t>
  </si>
  <si>
    <t>Mirtazapine</t>
  </si>
  <si>
    <t>No Bone Movies</t>
  </si>
  <si>
    <t>Strays II</t>
  </si>
  <si>
    <t>Never Know Why</t>
  </si>
  <si>
    <t>Goodbye to Romance - 2010 Guitar &amp; Vocal Mix</t>
  </si>
  <si>
    <t>folklore</t>
  </si>
  <si>
    <t>Over the Mountain</t>
  </si>
  <si>
    <t>Antisocialites</t>
  </si>
  <si>
    <t>To Bring You My Love</t>
  </si>
  <si>
    <t>Guess I'm Fallin In Love</t>
  </si>
  <si>
    <t>2025 Spotify Listening -- September 2025</t>
  </si>
  <si>
    <t>Graceland</t>
  </si>
  <si>
    <t>Ready to Start</t>
  </si>
  <si>
    <t>Masterpiece</t>
  </si>
  <si>
    <t>The Boy In the Bubble</t>
  </si>
  <si>
    <t>The Suburbs (Deluxe)</t>
  </si>
  <si>
    <t>Centre of Eternity</t>
  </si>
  <si>
    <t>2025 Spotify Listening -- April 2025</t>
  </si>
  <si>
    <t>Disposable Camera</t>
  </si>
  <si>
    <t>Marilyn</t>
  </si>
  <si>
    <t>Worth My While</t>
  </si>
  <si>
    <t>Dishes</t>
  </si>
  <si>
    <t>Living Thing</t>
  </si>
  <si>
    <t>Break My Heart</t>
  </si>
  <si>
    <t>Blissda</t>
  </si>
  <si>
    <t>Flowers On My Bedside</t>
  </si>
  <si>
    <t>The Best Of Me</t>
  </si>
  <si>
    <t>Right Hands</t>
  </si>
  <si>
    <t>Numbers</t>
  </si>
  <si>
    <t>Music For Psychedelic Therapy (Excerpt)</t>
  </si>
  <si>
    <t>Luxury Liner</t>
  </si>
  <si>
    <t>Saturn Return</t>
  </si>
  <si>
    <t>Old Tape (feat. Adam Granduciel)</t>
  </si>
  <si>
    <t>Music For Psychedelic Therapy - Excerpt</t>
  </si>
  <si>
    <t>In These Silent Days</t>
  </si>
  <si>
    <t>Phase 1 exploratory heatmap + sparklines (not a final visualization).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</si>
  <si>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</si>
  <si>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</si>
  <si>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</si>
  <si>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</si>
  <si>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</si>
  <si>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</si>
  <si>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</si>
  <si>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</si>
  <si>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</si>
  <si>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</si>
  <si>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</si>
  <si>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</si>
  <si>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2025 Total</t>
  </si>
  <si>
    <t>Source: fact_plays_2025_with_album_family (Jan–Oct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</si>
</sst>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#,##0.0_);\(#,##0.0\)"/>
  </numFmts>
  <fonts count="11">
    <font>
      <sz val="12"/>
      <color theme="1"/>
      <name val="Aptos Narrow"/>
      <family val="2"/>
      <scheme val="minor"/>
    </font>
    <font>
      <i/>
      <sz val="12"/>
      <color theme="1" tint="0.34998626667073579"/>
      <name val="Aptos Narrow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14"/>
      <color rgb="FF505050"/>
      <name val="Aptos Narrow"/>
      <scheme val="minor"/>
    </font>
    <font>
      <i/>
      <sz val="13"/>
      <color rgb="FF777777"/>
      <name val="Aptos Narrow"/>
      <scheme val="minor"/>
    </font>
    <font>
      <b/>
      <sz val="13"/>
      <color theme="1"/>
      <name val="Aptos Narrow"/>
      <scheme val="minor"/>
    </font>
    <font>
      <sz val="13"/>
      <color theme="1"/>
      <name val="Aptos Narrow"/>
      <scheme val="minor"/>
    </font>
    <font>
      <i/>
      <sz val="14"/>
      <color rgb="FF777777"/>
      <name val="Aptos Narrow"/>
      <scheme val="minor"/>
    </font>
    <font>
      <sz val="14"/>
      <color rgb="FF000000"/>
      <name val="-webkit-standard"/>
    </font>
    <font>
      <sz val="14"/>
      <color rgb="FF777777"/>
      <name val="-webkit-standard"/>
    </font>
  </fonts>
  <fills count="9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FC7FF"/>
        <bgColor indexed="64"/>
      </patternFill>
    </fill>
    <fill>
      <patternFill patternType="solid">
        <fgColor rgb="FFE6E0FF"/>
        <bgColor indexed="64"/>
      </patternFill>
    </fill>
    <fill>
      <patternFill patternType="solid">
        <fgColor rgb="FFF3F0FF"/>
        <bgColor indexed="64"/>
      </patternFill>
    </fill>
    <fill>
      <patternFill patternType="solid">
        <fgColor rgb="FFF7F7FA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B4B4B4"/>
      </bottom>
      <diagonal/>
    </border>
    <border>
      <left/>
      <right/>
      <top style="thin">
        <color rgb="FFB4B4B4"/>
      </top>
      <bottom/>
      <diagonal/>
    </border>
    <border>
      <left style="thin">
        <color rgb="FFD4D8E3"/>
      </left>
      <right/>
      <top style="thin">
        <color rgb="FFB4B4B4"/>
      </top>
      <bottom/>
      <diagonal/>
    </border>
    <border>
      <left/>
      <right style="thin">
        <color rgb="FFD4D8E3"/>
      </right>
      <top style="thin">
        <color rgb="FFB4B4B4"/>
      </top>
      <bottom/>
      <diagonal/>
    </border>
    <border>
      <left/>
      <right/>
      <top/>
      <bottom style="thin">
        <color rgb="FFD0D0E8"/>
      </bottom>
      <diagonal/>
    </border>
    <border>
      <left style="thin">
        <color rgb="FFDDDDDD"/>
      </left>
      <right/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/>
      <bottom/>
      <diagonal/>
    </border>
    <border>
      <left/>
      <right style="thin">
        <color rgb="FFDDDDDD"/>
      </right>
      <top/>
      <bottom/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2" borderId="2" xfId="0" applyFont="1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5" xfId="0" applyFont="1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/>
    <xf numFmtId="0" fontId="7" fillId="0" borderId="0" xfId="0" applyFont="1" applyAlignment="1">
      <alignment horizontal="center"/>
    </xf>
    <xf numFmtId="0" fontId="2" fillId="2" borderId="3" xfId="0" applyFont="1" applyFill="1" applyBorder="1"/>
    <xf numFmtId="0" fontId="2" fillId="2" borderId="4" xfId="0" applyFont="1" applyFill="1" applyBorder="1"/>
    <xf numFmtId="164" fontId="2" fillId="2" borderId="4" xfId="0" applyNumberFormat="1" applyFont="1" applyFill="1" applyBorder="1"/>
    <xf numFmtId="0" fontId="0" fillId="3" borderId="6" xfId="0" applyFill="1" applyBorder="1"/>
    <xf numFmtId="0" fontId="0" fillId="3" borderId="7" xfId="0" applyFill="1" applyBorder="1"/>
    <xf numFmtId="4" fontId="0" fillId="3" borderId="8" xfId="0" applyNumberFormat="1" applyFill="1" applyBorder="1"/>
    <xf numFmtId="0" fontId="0" fillId="8" borderId="0" xfId="0" applyFill="1"/>
    <xf numFmtId="164" fontId="0" fillId="3" borderId="8" xfId="0" applyNumberFormat="1" applyFill="1" applyBorder="1"/>
    <xf numFmtId="0" fontId="0" fillId="3" borderId="9" xfId="0" applyFill="1" applyBorder="1"/>
    <xf numFmtId="4" fontId="0" fillId="3" borderId="10" xfId="0" applyNumberFormat="1" applyFill="1" applyBorder="1"/>
    <xf numFmtId="164" fontId="0" fillId="3" borderId="10" xfId="0" applyNumberFormat="1" applyFill="1" applyBorder="1"/>
    <xf numFmtId="0" fontId="0" fillId="0" borderId="11" xfId="0" applyBorder="1"/>
    <xf numFmtId="0" fontId="0" fillId="4" borderId="9" xfId="0" applyFill="1" applyBorder="1"/>
    <xf numFmtId="4" fontId="0" fillId="4" borderId="10" xfId="0" applyNumberFormat="1" applyFill="1" applyBorder="1"/>
    <xf numFmtId="164" fontId="0" fillId="4" borderId="10" xfId="0" applyNumberFormat="1" applyFill="1" applyBorder="1"/>
    <xf numFmtId="0" fontId="0" fillId="5" borderId="9" xfId="0" applyFill="1" applyBorder="1"/>
    <xf numFmtId="4" fontId="0" fillId="5" borderId="10" xfId="0" applyNumberFormat="1" applyFill="1" applyBorder="1"/>
    <xf numFmtId="164" fontId="0" fillId="5" borderId="10" xfId="0" applyNumberFormat="1" applyFill="1" applyBorder="1"/>
    <xf numFmtId="0" fontId="0" fillId="6" borderId="9" xfId="0" applyFill="1" applyBorder="1"/>
    <xf numFmtId="4" fontId="0" fillId="6" borderId="10" xfId="0" applyNumberFormat="1" applyFill="1" applyBorder="1"/>
    <xf numFmtId="164" fontId="0" fillId="6" borderId="10" xfId="0" applyNumberFormat="1" applyFill="1" applyBorder="1"/>
    <xf numFmtId="0" fontId="0" fillId="6" borderId="12" xfId="0" applyFill="1" applyBorder="1"/>
    <xf numFmtId="0" fontId="0" fillId="6" borderId="11" xfId="0" applyFill="1" applyBorder="1"/>
    <xf numFmtId="4" fontId="0" fillId="6" borderId="13" xfId="0" applyNumberFormat="1" applyFill="1" applyBorder="1"/>
    <xf numFmtId="164" fontId="0" fillId="6" borderId="13" xfId="0" applyNumberFormat="1" applyFill="1" applyBorder="1"/>
    <xf numFmtId="164" fontId="0" fillId="0" borderId="0" xfId="0" applyNumberFormat="1"/>
    <xf numFmtId="0" fontId="3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165" fontId="0" fillId="3" borderId="8" xfId="0" applyNumberFormat="1" applyFill="1" applyBorder="1"/>
    <xf numFmtId="165" fontId="0" fillId="3" borderId="10" xfId="0" applyNumberFormat="1" applyFill="1" applyBorder="1"/>
    <xf numFmtId="165" fontId="0" fillId="4" borderId="10" xfId="0" applyNumberFormat="1" applyFill="1" applyBorder="1"/>
    <xf numFmtId="165" fontId="0" fillId="5" borderId="10" xfId="0" applyNumberFormat="1" applyFill="1" applyBorder="1"/>
    <xf numFmtId="165" fontId="0" fillId="6" borderId="10" xfId="0" applyNumberFormat="1" applyFill="1" applyBorder="1"/>
    <xf numFmtId="165" fontId="0" fillId="6" borderId="13" xfId="0" applyNumberFormat="1" applyFill="1" applyBorder="1"/>
    <xf numFmtId="166" fontId="0" fillId="3" borderId="8" xfId="0" applyNumberFormat="1" applyFill="1" applyBorder="1"/>
    <xf numFmtId="166" fontId="0" fillId="3" borderId="10" xfId="0" applyNumberFormat="1" applyFill="1" applyBorder="1"/>
    <xf numFmtId="166" fontId="0" fillId="4" borderId="10" xfId="0" applyNumberFormat="1" applyFill="1" applyBorder="1"/>
    <xf numFmtId="166" fontId="0" fillId="5" borderId="10" xfId="0" applyNumberFormat="1" applyFill="1" applyBorder="1"/>
    <xf numFmtId="166" fontId="0" fillId="6" borderId="10" xfId="0" applyNumberFormat="1" applyFill="1" applyBorder="1"/>
    <xf numFmtId="166" fontId="0" fillId="6" borderId="13" xfId="0" applyNumberFormat="1" applyFill="1" applyBorder="1"/>
    <xf numFmtId="166" fontId="0" fillId="0" borderId="0" xfId="0" applyNumberFormat="1"/>
    <xf numFmtId="0" fontId="8" fillId="0" borderId="0" xfId="0" applyFont="1"/>
    <xf numFmtId="0" fontId="9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166" fontId="0" fillId="0" borderId="14" xfId="0" applyNumberFormat="1" applyBorder="1"/>
    <xf numFmtId="166" fontId="0" fillId="0" borderId="15" xfId="0" applyNumberFormat="1" applyBorder="1"/>
    <xf numFmtId="166" fontId="0" fillId="0" borderId="16" xfId="0" applyNumberFormat="1" applyBorder="1"/>
    <xf numFmtId="166" fontId="0" fillId="0" borderId="17" xfId="0" applyNumberFormat="1" applyBorder="1"/>
    <xf numFmtId="166" fontId="0" fillId="0" borderId="18" xfId="0" applyNumberFormat="1" applyBorder="1"/>
    <xf numFmtId="166" fontId="0" fillId="0" borderId="19" xfId="0" applyNumberFormat="1" applyBorder="1"/>
    <xf numFmtId="166" fontId="0" fillId="0" borderId="20" xfId="0" applyNumberFormat="1" applyBorder="1"/>
    <xf numFmtId="166" fontId="0" fillId="0" borderId="21" xfId="0" applyNumberFormat="1" applyBorder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cap="none" baseline="0">
                <a:effectLst/>
              </a:rPr>
              <a:t>Top 5 Artists – Monthly Listening (Jan–Oct 2025)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'[1]Top Artists Over Time'!$A$5</c:f>
              <c:strCache>
                <c:ptCount val="1"/>
                <c:pt idx="0">
                  <c:v>Vampire Weekend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'[1]Top Artists Over Time'!$B$3:$K$3</c:f>
              <c:strCache>
                <c:ptCount val="10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</c:strCache>
            </c:strRef>
          </c:cat>
          <c:val>
            <c:numRef>
              <c:f>'[1]Top Artists Over Time'!$B$5:$K$5</c:f>
              <c:numCache>
                <c:formatCode>#,##0.0_);\(#,##0.0\)</c:formatCode>
                <c:ptCount val="10"/>
                <c:pt idx="0">
                  <c:v>264.58941666666669</c:v>
                </c:pt>
                <c:pt idx="1">
                  <c:v>82.985883333333334</c:v>
                </c:pt>
                <c:pt idx="2">
                  <c:v>73.428849999999997</c:v>
                </c:pt>
                <c:pt idx="3">
                  <c:v>94.33056666666667</c:v>
                </c:pt>
                <c:pt idx="4">
                  <c:v>448.90249999999997</c:v>
                </c:pt>
                <c:pt idx="5">
                  <c:v>251.72315</c:v>
                </c:pt>
                <c:pt idx="6">
                  <c:v>88.191900000000004</c:v>
                </c:pt>
                <c:pt idx="7">
                  <c:v>7.3228166666666663</c:v>
                </c:pt>
                <c:pt idx="8">
                  <c:v>295.61993333333334</c:v>
                </c:pt>
                <c:pt idx="9">
                  <c:v>18.266033333333333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78-E644-B363-A9FD0ACADA1A}"/>
            </c:ext>
          </c:extLst>
        </c:ser>
        <c:ser>
          <c:idx val="3"/>
          <c:order val="3"/>
          <c:tx>
            <c:strRef>
              <c:f>'[1]Top Artists Over Time'!$A$7</c:f>
              <c:strCache>
                <c:ptCount val="1"/>
                <c:pt idx="0">
                  <c:v>Kurt Vile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'[1]Top Artists Over Time'!$B$3:$K$3</c:f>
              <c:strCache>
                <c:ptCount val="10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</c:strCache>
            </c:strRef>
          </c:cat>
          <c:val>
            <c:numRef>
              <c:f>'[1]Top Artists Over Time'!$B$7:$K$7</c:f>
              <c:numCache>
                <c:formatCode>#,##0.0_);\(#,##0.0\)</c:formatCode>
                <c:ptCount val="10"/>
                <c:pt idx="0">
                  <c:v>233.69826666666665</c:v>
                </c:pt>
                <c:pt idx="1">
                  <c:v>105.74556666666666</c:v>
                </c:pt>
                <c:pt idx="2">
                  <c:v>111.83578333333334</c:v>
                </c:pt>
                <c:pt idx="3">
                  <c:v>2.8266833333333334</c:v>
                </c:pt>
                <c:pt idx="4">
                  <c:v>54.751866666666665</c:v>
                </c:pt>
                <c:pt idx="5">
                  <c:v>22.585416666666667</c:v>
                </c:pt>
                <c:pt idx="6">
                  <c:v>214.98765</c:v>
                </c:pt>
                <c:pt idx="7">
                  <c:v>34.707616666666667</c:v>
                </c:pt>
                <c:pt idx="8">
                  <c:v>3.7098499999999999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78-E644-B363-A9FD0ACADA1A}"/>
            </c:ext>
          </c:extLst>
        </c:ser>
        <c:ser>
          <c:idx val="4"/>
          <c:order val="4"/>
          <c:tx>
            <c:strRef>
              <c:f>'[1]Top Artists Over Time'!$A$8</c:f>
              <c:strCache>
                <c:ptCount val="1"/>
                <c:pt idx="0">
                  <c:v>Jack White</c:v>
                </c:pt>
              </c:strCache>
            </c:strRef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'[1]Top Artists Over Time'!$B$3:$K$3</c:f>
              <c:strCache>
                <c:ptCount val="10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</c:strCache>
            </c:strRef>
          </c:cat>
          <c:val>
            <c:numRef>
              <c:f>'[1]Top Artists Over Time'!$B$8:$K$8</c:f>
              <c:numCache>
                <c:formatCode>#,##0.0_);\(#,##0.0\)</c:formatCode>
                <c:ptCount val="10"/>
                <c:pt idx="0">
                  <c:v>6.6478000000000002</c:v>
                </c:pt>
                <c:pt idx="1">
                  <c:v>493.71803333333332</c:v>
                </c:pt>
                <c:pt idx="2">
                  <c:v>16.641783333333333</c:v>
                </c:pt>
                <c:pt idx="3">
                  <c:v>0</c:v>
                </c:pt>
                <c:pt idx="4">
                  <c:v>0</c:v>
                </c:pt>
                <c:pt idx="5">
                  <c:v>99.057183333333327</c:v>
                </c:pt>
                <c:pt idx="6">
                  <c:v>0</c:v>
                </c:pt>
                <c:pt idx="7">
                  <c:v>33.958166666666664</c:v>
                </c:pt>
                <c:pt idx="8">
                  <c:v>15.18975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78-E644-B363-A9FD0ACADA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29135567"/>
        <c:axId val="929137295"/>
      </c:lineChart>
      <c:lineChart>
        <c:grouping val="standard"/>
        <c:varyColors val="0"/>
        <c:ser>
          <c:idx val="0"/>
          <c:order val="0"/>
          <c:tx>
            <c:strRef>
              <c:f>'[1]Top Artists Over Time'!$A$4</c:f>
              <c:strCache>
                <c:ptCount val="1"/>
                <c:pt idx="0">
                  <c:v>Father John Misty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'[1]Top Artists Over Time'!$B$3:$K$3</c:f>
              <c:strCache>
                <c:ptCount val="10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</c:strCache>
            </c:strRef>
          </c:cat>
          <c:val>
            <c:numRef>
              <c:f>'[1]Top Artists Over Time'!$B$4:$K$4</c:f>
              <c:numCache>
                <c:formatCode>#,##0.0_);\(#,##0.0\)</c:formatCode>
                <c:ptCount val="10"/>
                <c:pt idx="0">
                  <c:v>130.97198333333333</c:v>
                </c:pt>
                <c:pt idx="1">
                  <c:v>1346.1851999999999</c:v>
                </c:pt>
                <c:pt idx="2">
                  <c:v>313.61869999999999</c:v>
                </c:pt>
                <c:pt idx="3">
                  <c:v>96.719149999999999</c:v>
                </c:pt>
                <c:pt idx="4">
                  <c:v>79.266616666666664</c:v>
                </c:pt>
                <c:pt idx="5">
                  <c:v>141.3272</c:v>
                </c:pt>
                <c:pt idx="6">
                  <c:v>11.726566666666667</c:v>
                </c:pt>
                <c:pt idx="7">
                  <c:v>11.110749999999999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78-E644-B363-A9FD0ACADA1A}"/>
            </c:ext>
          </c:extLst>
        </c:ser>
        <c:ser>
          <c:idx val="2"/>
          <c:order val="2"/>
          <c:tx>
            <c:strRef>
              <c:f>'[1]Top Artists Over Time'!$A$6</c:f>
              <c:strCache>
                <c:ptCount val="1"/>
                <c:pt idx="0">
                  <c:v>Ozzy Osbourne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'[1]Top Artists Over Time'!$B$3:$K$3</c:f>
              <c:strCache>
                <c:ptCount val="10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</c:strCache>
            </c:strRef>
          </c:cat>
          <c:val>
            <c:numRef>
              <c:f>'[1]Top Artists Over Time'!$B$6:$K$6</c:f>
              <c:numCache>
                <c:formatCode>#,##0.0_);\(#,##0.0\)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221.81710000000001</c:v>
                </c:pt>
                <c:pt idx="7">
                  <c:v>737.94141666666667</c:v>
                </c:pt>
                <c:pt idx="8">
                  <c:v>220.96671666666666</c:v>
                </c:pt>
                <c:pt idx="9">
                  <c:v>60.29858333333334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78-E644-B363-A9FD0ACAD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224735"/>
        <c:axId val="929221775"/>
      </c:lineChart>
      <c:catAx>
        <c:axId val="92913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137295"/>
        <c:crosses val="autoZero"/>
        <c:auto val="1"/>
        <c:lblAlgn val="ctr"/>
        <c:lblOffset val="100"/>
        <c:noMultiLvlLbl val="0"/>
      </c:catAx>
      <c:valAx>
        <c:axId val="929137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Minutes Played (Other Artists)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_);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135567"/>
        <c:crosses val="autoZero"/>
        <c:crossBetween val="between"/>
      </c:valAx>
      <c:valAx>
        <c:axId val="9292217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Minutes Played (Father John Misty  and Ozzy Osbourne)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_);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224735"/>
        <c:crosses val="max"/>
        <c:crossBetween val="between"/>
      </c:valAx>
      <c:catAx>
        <c:axId val="9292247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29221775"/>
        <c:crosses val="autoZero"/>
        <c:auto val="1"/>
        <c:lblAlgn val="ctr"/>
        <c:lblOffset val="100"/>
        <c:noMultiLvlLbl val="0"/>
      </c:cat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101600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7D67-D470-0043-95A2-A1CBE45ABE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ennifermitchell/Documents/projects/projects_2025/analytics_projects/Spotify_Sandbox/spotify_sandbox_github/data_private/spotify_sandbox_2025_Oct_15_v2.xlsx" TargetMode="External"/><Relationship Id="rId1" Type="http://schemas.openxmlformats.org/officeDocument/2006/relationships/externalLinkPath" Target="/Users/jennifermitchell/Documents/projects/projects_2025/analytics_projects/Spotify_Sandbox/spotify_sandbox_github/data_private/spotify_sandbox_2025_Oct_15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 Overview"/>
      <sheetName val="Artist &amp; Song Ranking"/>
      <sheetName val="Top Artists Over Time"/>
      <sheetName val="Top 5 Chart"/>
      <sheetName val="Sheet43"/>
      <sheetName val="oct_raw_plays_2025"/>
      <sheetName val="Artist Ranking"/>
      <sheetName val="Track Ranking"/>
      <sheetName val="Album Ranking"/>
      <sheetName val="Jan"/>
      <sheetName val="Track Ranking-old"/>
      <sheetName val="Album Ranking-old"/>
      <sheetName val="Artists Ranking-old"/>
      <sheetName val="Feb"/>
      <sheetName val="Mar"/>
      <sheetName val="Apr"/>
      <sheetName val="May"/>
      <sheetName val="Jun"/>
      <sheetName val="Jul"/>
      <sheetName val="Aug"/>
      <sheetName val="Sep"/>
      <sheetName val="fact_plays_2025_with_album_fami"/>
      <sheetName val="album_family_map"/>
      <sheetName val="fact_plays_2025"/>
    </sheetNames>
    <sheetDataSet>
      <sheetData sheetId="0"/>
      <sheetData sheetId="1"/>
      <sheetData sheetId="2">
        <row r="3">
          <cell r="B3" t="str">
            <v>January</v>
          </cell>
          <cell r="C3" t="str">
            <v>February</v>
          </cell>
          <cell r="D3" t="str">
            <v>March</v>
          </cell>
          <cell r="E3" t="str">
            <v>April</v>
          </cell>
          <cell r="F3" t="str">
            <v>May</v>
          </cell>
          <cell r="G3" t="str">
            <v>June</v>
          </cell>
          <cell r="H3" t="str">
            <v>July</v>
          </cell>
          <cell r="I3" t="str">
            <v>August</v>
          </cell>
          <cell r="J3" t="str">
            <v>September</v>
          </cell>
          <cell r="K3" t="str">
            <v>October</v>
          </cell>
        </row>
        <row r="4">
          <cell r="A4" t="str">
            <v>Father John Misty</v>
          </cell>
          <cell r="B4">
            <v>130.97198333333333</v>
          </cell>
          <cell r="C4">
            <v>1346.1851999999999</v>
          </cell>
          <cell r="D4">
            <v>313.61869999999999</v>
          </cell>
          <cell r="E4">
            <v>96.719149999999999</v>
          </cell>
          <cell r="F4">
            <v>79.266616666666664</v>
          </cell>
          <cell r="G4">
            <v>141.3272</v>
          </cell>
          <cell r="H4">
            <v>11.726566666666667</v>
          </cell>
          <cell r="I4">
            <v>11.110749999999999</v>
          </cell>
          <cell r="J4">
            <v>0</v>
          </cell>
          <cell r="K4">
            <v>0</v>
          </cell>
        </row>
        <row r="5">
          <cell r="A5" t="str">
            <v>Vampire Weekend</v>
          </cell>
          <cell r="B5">
            <v>264.58941666666669</v>
          </cell>
          <cell r="C5">
            <v>82.985883333333334</v>
          </cell>
          <cell r="D5">
            <v>73.428849999999997</v>
          </cell>
          <cell r="E5">
            <v>94.33056666666667</v>
          </cell>
          <cell r="F5">
            <v>448.90249999999997</v>
          </cell>
          <cell r="G5">
            <v>251.72315</v>
          </cell>
          <cell r="H5">
            <v>88.191900000000004</v>
          </cell>
          <cell r="I5">
            <v>7.3228166666666663</v>
          </cell>
          <cell r="J5">
            <v>295.61993333333334</v>
          </cell>
          <cell r="K5">
            <v>18.266033333333333</v>
          </cell>
        </row>
        <row r="6">
          <cell r="A6" t="str">
            <v>Ozzy Osbourne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221.81710000000001</v>
          </cell>
          <cell r="I6">
            <v>737.94141666666667</v>
          </cell>
          <cell r="J6">
            <v>220.96671666666666</v>
          </cell>
          <cell r="K6">
            <v>60.29858333333334</v>
          </cell>
        </row>
        <row r="7">
          <cell r="A7" t="str">
            <v>Kurt Vile</v>
          </cell>
          <cell r="B7">
            <v>233.69826666666665</v>
          </cell>
          <cell r="C7">
            <v>105.74556666666666</v>
          </cell>
          <cell r="D7">
            <v>111.83578333333334</v>
          </cell>
          <cell r="E7">
            <v>2.8266833333333334</v>
          </cell>
          <cell r="F7">
            <v>54.751866666666665</v>
          </cell>
          <cell r="G7">
            <v>22.585416666666667</v>
          </cell>
          <cell r="H7">
            <v>214.98765</v>
          </cell>
          <cell r="I7">
            <v>34.707616666666667</v>
          </cell>
          <cell r="J7">
            <v>3.7098499999999999</v>
          </cell>
          <cell r="K7">
            <v>0</v>
          </cell>
        </row>
        <row r="8">
          <cell r="A8" t="str">
            <v>Jack White</v>
          </cell>
          <cell r="B8">
            <v>6.6478000000000002</v>
          </cell>
          <cell r="C8">
            <v>493.71803333333332</v>
          </cell>
          <cell r="D8">
            <v>16.641783333333333</v>
          </cell>
          <cell r="E8">
            <v>0</v>
          </cell>
          <cell r="F8">
            <v>0</v>
          </cell>
          <cell r="G8">
            <v>99.057183333333327</v>
          </cell>
          <cell r="H8">
            <v>0</v>
          </cell>
          <cell r="I8">
            <v>33.958166666666664</v>
          </cell>
          <cell r="J8">
            <v>15.18975</v>
          </cell>
          <cell r="K8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FDD69-16F0-FE47-A0B0-1324326CF949}">
  <sheetPr>
    <tabColor rgb="FFCFC7FF"/>
  </sheetPr>
  <dimension ref="A1:P106"/>
  <sheetViews>
    <sheetView zoomScale="120" zoomScaleNormal="120" workbookViewId="0">
      <pane ySplit="6" topLeftCell="A7" activePane="bottomLeft" state="frozen"/>
      <selection activeCell="G32" sqref="G32"/>
      <selection pane="bottomLeft" activeCell="K33" sqref="K33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8.5" customWidth="1"/>
    <col min="7" max="7" width="19.6640625" customWidth="1"/>
    <col min="8" max="8" width="13.83203125" style="35" customWidth="1"/>
    <col min="9" max="9" width="3" customWidth="1"/>
    <col min="10" max="10" width="5.33203125" bestFit="1" customWidth="1"/>
    <col min="11" max="11" width="30.1640625" customWidth="1"/>
    <col min="12" max="12" width="28.1640625" customWidth="1"/>
    <col min="13" max="13" width="13.83203125" style="35" customWidth="1"/>
  </cols>
  <sheetData>
    <row r="1" spans="1:16" ht="22" customHeight="1">
      <c r="A1" s="36" t="s">
        <v>130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1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1" t="s">
        <v>4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5</v>
      </c>
      <c r="C7" s="15">
        <v>35.515436111111114</v>
      </c>
      <c r="D7" s="16"/>
      <c r="E7" s="13">
        <v>1</v>
      </c>
      <c r="F7" s="14" t="s">
        <v>133</v>
      </c>
      <c r="G7" s="14" t="s">
        <v>5</v>
      </c>
      <c r="H7" s="40">
        <v>162.39576666666667</v>
      </c>
      <c r="I7" s="16"/>
      <c r="J7" s="13">
        <v>1</v>
      </c>
      <c r="K7" s="14" t="s">
        <v>133</v>
      </c>
      <c r="L7" s="14" t="s">
        <v>5</v>
      </c>
      <c r="M7" s="17">
        <v>756.05693333333329</v>
      </c>
    </row>
    <row r="8" spans="1:16" ht="18" customHeight="1">
      <c r="A8" s="18">
        <v>2</v>
      </c>
      <c r="B8" s="2" t="s">
        <v>6</v>
      </c>
      <c r="C8" s="19">
        <v>27.089350833333334</v>
      </c>
      <c r="D8" s="16"/>
      <c r="E8" s="18">
        <v>2</v>
      </c>
      <c r="F8" s="2" t="s">
        <v>134</v>
      </c>
      <c r="G8" s="2" t="s">
        <v>5</v>
      </c>
      <c r="H8" s="41">
        <v>136.98431666666667</v>
      </c>
      <c r="I8" s="16"/>
      <c r="J8" s="18">
        <v>2</v>
      </c>
      <c r="K8" s="2" t="s">
        <v>135</v>
      </c>
      <c r="L8" s="2" t="s">
        <v>7</v>
      </c>
      <c r="M8" s="20">
        <v>646.74423333333334</v>
      </c>
    </row>
    <row r="9" spans="1:16" ht="18" customHeight="1">
      <c r="A9" s="18">
        <v>3</v>
      </c>
      <c r="B9" s="2" t="s">
        <v>7</v>
      </c>
      <c r="C9" s="19">
        <v>20.503920000000001</v>
      </c>
      <c r="D9" s="16"/>
      <c r="E9" s="18">
        <v>3</v>
      </c>
      <c r="F9" s="2" t="s">
        <v>136</v>
      </c>
      <c r="G9" s="2" t="s">
        <v>5</v>
      </c>
      <c r="H9" s="41">
        <v>129.39758333333333</v>
      </c>
      <c r="I9" s="16"/>
      <c r="J9" s="18">
        <v>3</v>
      </c>
      <c r="K9" s="2" t="s">
        <v>137</v>
      </c>
      <c r="L9" s="2" t="s">
        <v>6</v>
      </c>
      <c r="M9" s="20">
        <v>534.33128333333332</v>
      </c>
    </row>
    <row r="10" spans="1:16" ht="18" customHeight="1">
      <c r="A10" s="18">
        <v>4</v>
      </c>
      <c r="B10" s="2" t="s">
        <v>8</v>
      </c>
      <c r="C10" s="19">
        <v>13.080811666666667</v>
      </c>
      <c r="D10" s="16"/>
      <c r="E10" s="18">
        <v>4</v>
      </c>
      <c r="F10" s="2" t="s">
        <v>138</v>
      </c>
      <c r="G10" s="2" t="s">
        <v>8</v>
      </c>
      <c r="H10" s="41">
        <v>120.67485000000001</v>
      </c>
      <c r="I10" s="16"/>
      <c r="J10" s="18">
        <v>4</v>
      </c>
      <c r="K10" s="2" t="s">
        <v>139</v>
      </c>
      <c r="L10" s="2" t="s">
        <v>9</v>
      </c>
      <c r="M10" s="20">
        <v>510.32485000000003</v>
      </c>
    </row>
    <row r="11" spans="1:16" ht="18" customHeight="1">
      <c r="A11" s="18">
        <v>5</v>
      </c>
      <c r="B11" s="2" t="s">
        <v>9</v>
      </c>
      <c r="C11" s="19">
        <v>11.086878611111111</v>
      </c>
      <c r="D11" s="16"/>
      <c r="E11" s="18">
        <v>5</v>
      </c>
      <c r="F11" s="2" t="s">
        <v>140</v>
      </c>
      <c r="G11" s="2" t="s">
        <v>7</v>
      </c>
      <c r="H11" s="41">
        <v>116.45350000000001</v>
      </c>
      <c r="I11" s="16"/>
      <c r="J11" s="18">
        <v>5</v>
      </c>
      <c r="K11" s="2" t="s">
        <v>141</v>
      </c>
      <c r="L11" s="2" t="s">
        <v>6</v>
      </c>
      <c r="M11" s="20">
        <v>453.36713333333336</v>
      </c>
      <c r="P11" s="21"/>
    </row>
    <row r="12" spans="1:16" ht="18" customHeight="1">
      <c r="A12" s="22">
        <v>6</v>
      </c>
      <c r="B12" s="3" t="s">
        <v>10</v>
      </c>
      <c r="C12" s="23">
        <v>10.777228888888889</v>
      </c>
      <c r="D12" s="16"/>
      <c r="E12" s="22">
        <v>6</v>
      </c>
      <c r="F12" s="3" t="s">
        <v>142</v>
      </c>
      <c r="G12" s="3" t="s">
        <v>5</v>
      </c>
      <c r="H12" s="42">
        <v>110.51224999999999</v>
      </c>
      <c r="I12" s="16"/>
      <c r="J12" s="22">
        <v>6</v>
      </c>
      <c r="K12" s="3" t="s">
        <v>143</v>
      </c>
      <c r="L12" s="3" t="s">
        <v>8</v>
      </c>
      <c r="M12" s="24">
        <v>428.76588333333331</v>
      </c>
    </row>
    <row r="13" spans="1:16" ht="18" customHeight="1">
      <c r="A13" s="22">
        <v>7</v>
      </c>
      <c r="B13" s="3" t="s">
        <v>11</v>
      </c>
      <c r="C13" s="23">
        <v>10.635118055555555</v>
      </c>
      <c r="D13" s="16"/>
      <c r="E13" s="22">
        <v>7</v>
      </c>
      <c r="F13" s="3" t="s">
        <v>144</v>
      </c>
      <c r="G13" s="3" t="s">
        <v>6</v>
      </c>
      <c r="H13" s="42">
        <v>110.18210000000001</v>
      </c>
      <c r="I13" s="16"/>
      <c r="J13" s="22">
        <v>7</v>
      </c>
      <c r="K13" s="3" t="s">
        <v>145</v>
      </c>
      <c r="L13" s="3" t="s">
        <v>5</v>
      </c>
      <c r="M13" s="24">
        <v>370.43581666666665</v>
      </c>
    </row>
    <row r="14" spans="1:16" ht="18" customHeight="1">
      <c r="A14" s="22">
        <v>8</v>
      </c>
      <c r="B14" s="3" t="s">
        <v>12</v>
      </c>
      <c r="C14" s="23">
        <v>10.203095833333334</v>
      </c>
      <c r="D14" s="16"/>
      <c r="E14" s="22">
        <v>8</v>
      </c>
      <c r="F14" s="3" t="s">
        <v>148</v>
      </c>
      <c r="G14" s="3" t="s">
        <v>7</v>
      </c>
      <c r="H14" s="42">
        <v>88.796733333333336</v>
      </c>
      <c r="I14" s="16"/>
      <c r="J14" s="22">
        <v>8</v>
      </c>
      <c r="K14" s="3" t="s">
        <v>147</v>
      </c>
      <c r="L14" s="3" t="s">
        <v>5</v>
      </c>
      <c r="M14" s="24">
        <v>345.12774999999999</v>
      </c>
    </row>
    <row r="15" spans="1:16" ht="18" customHeight="1">
      <c r="A15" s="22">
        <v>9</v>
      </c>
      <c r="B15" s="3" t="s">
        <v>13</v>
      </c>
      <c r="C15" s="23">
        <v>7.8586508333333329</v>
      </c>
      <c r="D15" s="16"/>
      <c r="E15" s="22">
        <v>9</v>
      </c>
      <c r="F15" s="3" t="s">
        <v>150</v>
      </c>
      <c r="G15" s="3" t="s">
        <v>7</v>
      </c>
      <c r="H15" s="42">
        <v>87.560916666666671</v>
      </c>
      <c r="I15" s="16"/>
      <c r="J15" s="22">
        <v>9</v>
      </c>
      <c r="K15" s="3" t="s">
        <v>149</v>
      </c>
      <c r="L15" s="3" t="s">
        <v>14</v>
      </c>
      <c r="M15" s="24">
        <v>340.55865</v>
      </c>
    </row>
    <row r="16" spans="1:16" ht="18" customHeight="1">
      <c r="A16" s="22">
        <v>10</v>
      </c>
      <c r="B16" s="3" t="s">
        <v>14</v>
      </c>
      <c r="C16" s="23">
        <v>7.7214377777777781</v>
      </c>
      <c r="D16" s="16"/>
      <c r="E16" s="22">
        <v>10</v>
      </c>
      <c r="F16" s="3" t="s">
        <v>152</v>
      </c>
      <c r="G16" s="3" t="s">
        <v>5</v>
      </c>
      <c r="H16" s="42">
        <v>78.673066666666671</v>
      </c>
      <c r="I16" s="16"/>
      <c r="J16" s="22">
        <v>10</v>
      </c>
      <c r="K16" s="3" t="s">
        <v>151</v>
      </c>
      <c r="L16" s="3" t="s">
        <v>6</v>
      </c>
      <c r="M16" s="24">
        <v>314.25976666666668</v>
      </c>
    </row>
    <row r="17" spans="1:13" ht="18" customHeight="1">
      <c r="A17" s="25">
        <v>11</v>
      </c>
      <c r="B17" s="4" t="s">
        <v>15</v>
      </c>
      <c r="C17" s="26">
        <v>6.8752836111111115</v>
      </c>
      <c r="D17" s="16"/>
      <c r="E17" s="25">
        <v>11</v>
      </c>
      <c r="F17" s="4" t="s">
        <v>154</v>
      </c>
      <c r="G17" s="4" t="s">
        <v>9</v>
      </c>
      <c r="H17" s="43">
        <v>75.114450000000005</v>
      </c>
      <c r="I17" s="16"/>
      <c r="J17" s="25">
        <v>11</v>
      </c>
      <c r="K17" s="4" t="s">
        <v>153</v>
      </c>
      <c r="L17" s="4" t="s">
        <v>5</v>
      </c>
      <c r="M17" s="27">
        <v>303.03643333333332</v>
      </c>
    </row>
    <row r="18" spans="1:13" ht="18" customHeight="1">
      <c r="A18" s="25">
        <v>12</v>
      </c>
      <c r="B18" s="4" t="s">
        <v>16</v>
      </c>
      <c r="C18" s="26">
        <v>6.2335277777777778</v>
      </c>
      <c r="D18" s="16"/>
      <c r="E18" s="25">
        <v>12</v>
      </c>
      <c r="F18" s="4" t="s">
        <v>156</v>
      </c>
      <c r="G18" s="4" t="s">
        <v>34</v>
      </c>
      <c r="H18" s="43">
        <v>75.044650000000004</v>
      </c>
      <c r="I18" s="16"/>
      <c r="J18" s="25">
        <v>12</v>
      </c>
      <c r="K18" s="4" t="s">
        <v>155</v>
      </c>
      <c r="L18" s="4" t="s">
        <v>18</v>
      </c>
      <c r="M18" s="27">
        <v>298.90123333333332</v>
      </c>
    </row>
    <row r="19" spans="1:13" ht="18" customHeight="1">
      <c r="A19" s="25">
        <v>13</v>
      </c>
      <c r="B19" s="4" t="s">
        <v>17</v>
      </c>
      <c r="C19" s="26">
        <v>5.9578333333333333</v>
      </c>
      <c r="D19" s="16"/>
      <c r="E19" s="25">
        <v>13</v>
      </c>
      <c r="F19" s="4" t="s">
        <v>157</v>
      </c>
      <c r="G19" s="4" t="s">
        <v>6</v>
      </c>
      <c r="H19" s="43">
        <v>73.818983333333335</v>
      </c>
      <c r="I19" s="16"/>
      <c r="J19" s="25">
        <v>13</v>
      </c>
      <c r="K19" s="4" t="s">
        <v>206</v>
      </c>
      <c r="L19" s="4" t="s">
        <v>22</v>
      </c>
      <c r="M19" s="27">
        <v>275.70753333333334</v>
      </c>
    </row>
    <row r="20" spans="1:13" ht="18" customHeight="1">
      <c r="A20" s="25">
        <v>14</v>
      </c>
      <c r="B20" s="4" t="s">
        <v>18</v>
      </c>
      <c r="C20" s="26">
        <v>5.7936300000000003</v>
      </c>
      <c r="D20" s="16"/>
      <c r="E20" s="25">
        <v>14</v>
      </c>
      <c r="F20" s="4" t="s">
        <v>159</v>
      </c>
      <c r="G20" s="4" t="s">
        <v>8</v>
      </c>
      <c r="H20" s="43">
        <v>70.979200000000006</v>
      </c>
      <c r="I20" s="16"/>
      <c r="J20" s="25">
        <v>14</v>
      </c>
      <c r="K20" s="4" t="s">
        <v>333</v>
      </c>
      <c r="L20" s="4" t="s">
        <v>7</v>
      </c>
      <c r="M20" s="27">
        <v>254.97268333333332</v>
      </c>
    </row>
    <row r="21" spans="1:13" ht="18" customHeight="1">
      <c r="A21" s="25">
        <v>15</v>
      </c>
      <c r="B21" s="4" t="s">
        <v>19</v>
      </c>
      <c r="C21" s="26">
        <v>4.8586988888888891</v>
      </c>
      <c r="D21" s="16"/>
      <c r="E21" s="25">
        <v>15</v>
      </c>
      <c r="F21" s="4" t="s">
        <v>160</v>
      </c>
      <c r="G21" s="4" t="s">
        <v>7</v>
      </c>
      <c r="H21" s="43">
        <v>69.502650000000003</v>
      </c>
      <c r="I21" s="16"/>
      <c r="J21" s="25">
        <v>15</v>
      </c>
      <c r="K21" s="4" t="s">
        <v>158</v>
      </c>
      <c r="L21" s="4" t="s">
        <v>21</v>
      </c>
      <c r="M21" s="27">
        <v>246.61775</v>
      </c>
    </row>
    <row r="22" spans="1:13" ht="18" customHeight="1">
      <c r="A22" s="25">
        <v>16</v>
      </c>
      <c r="B22" s="4" t="s">
        <v>20</v>
      </c>
      <c r="C22" s="26">
        <v>4.856966388888889</v>
      </c>
      <c r="D22" s="16"/>
      <c r="E22" s="25">
        <v>16</v>
      </c>
      <c r="F22" s="4" t="s">
        <v>162</v>
      </c>
      <c r="G22" s="4" t="s">
        <v>6</v>
      </c>
      <c r="H22" s="43">
        <v>69.15176666666666</v>
      </c>
      <c r="I22" s="16"/>
      <c r="J22" s="25">
        <v>16</v>
      </c>
      <c r="K22" s="4" t="s">
        <v>12</v>
      </c>
      <c r="L22" s="4" t="s">
        <v>12</v>
      </c>
      <c r="M22" s="27">
        <v>229.86106666666666</v>
      </c>
    </row>
    <row r="23" spans="1:13" ht="18" customHeight="1">
      <c r="A23" s="25">
        <v>17</v>
      </c>
      <c r="B23" s="4" t="s">
        <v>21</v>
      </c>
      <c r="C23" s="26">
        <v>4.7450783333333337</v>
      </c>
      <c r="D23" s="16"/>
      <c r="E23" s="25">
        <v>17</v>
      </c>
      <c r="F23" s="4" t="s">
        <v>164</v>
      </c>
      <c r="G23" s="4" t="s">
        <v>5</v>
      </c>
      <c r="H23" s="43">
        <v>68.841333333333338</v>
      </c>
      <c r="I23" s="16"/>
      <c r="J23" s="25">
        <v>17</v>
      </c>
      <c r="K23" s="4" t="s">
        <v>161</v>
      </c>
      <c r="L23" s="4" t="s">
        <v>15</v>
      </c>
      <c r="M23" s="27">
        <v>220.91378333333333</v>
      </c>
    </row>
    <row r="24" spans="1:13" ht="18" customHeight="1">
      <c r="A24" s="25">
        <v>18</v>
      </c>
      <c r="B24" s="4" t="s">
        <v>22</v>
      </c>
      <c r="C24" s="26">
        <v>4.5951255555555557</v>
      </c>
      <c r="D24" s="16"/>
      <c r="E24" s="25">
        <v>18</v>
      </c>
      <c r="F24" s="4" t="s">
        <v>166</v>
      </c>
      <c r="G24" s="4" t="s">
        <v>5</v>
      </c>
      <c r="H24" s="43">
        <v>68.576466666666661</v>
      </c>
      <c r="I24" s="16"/>
      <c r="J24" s="25">
        <v>18</v>
      </c>
      <c r="K24" s="4" t="s">
        <v>163</v>
      </c>
      <c r="L24" s="4" t="s">
        <v>11</v>
      </c>
      <c r="M24" s="27">
        <v>214.35374999999999</v>
      </c>
    </row>
    <row r="25" spans="1:13" ht="18" customHeight="1">
      <c r="A25" s="25">
        <v>19</v>
      </c>
      <c r="B25" s="4" t="s">
        <v>23</v>
      </c>
      <c r="C25" s="26">
        <v>4.2441697222222219</v>
      </c>
      <c r="D25" s="16"/>
      <c r="E25" s="25">
        <v>19</v>
      </c>
      <c r="F25" s="4" t="s">
        <v>168</v>
      </c>
      <c r="G25" s="4" t="s">
        <v>5</v>
      </c>
      <c r="H25" s="43">
        <v>66.407483333333332</v>
      </c>
      <c r="I25" s="16"/>
      <c r="J25" s="25">
        <v>19</v>
      </c>
      <c r="K25" s="4" t="s">
        <v>167</v>
      </c>
      <c r="L25" s="4" t="s">
        <v>10</v>
      </c>
      <c r="M25" s="27">
        <v>201.23169999999999</v>
      </c>
    </row>
    <row r="26" spans="1:13" ht="18" customHeight="1">
      <c r="A26" s="25">
        <v>20</v>
      </c>
      <c r="B26" s="4" t="s">
        <v>24</v>
      </c>
      <c r="C26" s="26">
        <v>3.1368480555555553</v>
      </c>
      <c r="D26" s="16"/>
      <c r="E26" s="25">
        <v>20</v>
      </c>
      <c r="F26" s="4" t="s">
        <v>170</v>
      </c>
      <c r="G26" s="4" t="s">
        <v>7</v>
      </c>
      <c r="H26" s="43">
        <v>65.699233333333339</v>
      </c>
      <c r="I26" s="16"/>
      <c r="J26" s="25">
        <v>20</v>
      </c>
      <c r="K26" s="4" t="s">
        <v>165</v>
      </c>
      <c r="L26" s="4" t="s">
        <v>8</v>
      </c>
      <c r="M26" s="27">
        <v>183.71451666666667</v>
      </c>
    </row>
    <row r="27" spans="1:13" ht="18" customHeight="1">
      <c r="A27" s="28">
        <v>21</v>
      </c>
      <c r="B27" s="5" t="s">
        <v>25</v>
      </c>
      <c r="C27" s="29">
        <v>3.0732577777777776</v>
      </c>
      <c r="D27" s="16"/>
      <c r="E27" s="28">
        <v>21</v>
      </c>
      <c r="F27" s="5" t="s">
        <v>146</v>
      </c>
      <c r="G27" s="5" t="s">
        <v>11</v>
      </c>
      <c r="H27" s="44">
        <v>65.456116666666674</v>
      </c>
      <c r="I27" s="16"/>
      <c r="J27" s="28">
        <v>21</v>
      </c>
      <c r="K27" s="5" t="s">
        <v>169</v>
      </c>
      <c r="L27" s="5" t="s">
        <v>6</v>
      </c>
      <c r="M27" s="30">
        <v>168.90061666666668</v>
      </c>
    </row>
    <row r="28" spans="1:13" ht="18" customHeight="1">
      <c r="A28" s="28">
        <v>22</v>
      </c>
      <c r="B28" s="5" t="s">
        <v>26</v>
      </c>
      <c r="C28" s="29">
        <v>2.7814725</v>
      </c>
      <c r="D28" s="16"/>
      <c r="E28" s="28">
        <v>22</v>
      </c>
      <c r="F28" s="5" t="s">
        <v>172</v>
      </c>
      <c r="G28" s="5" t="s">
        <v>18</v>
      </c>
      <c r="H28" s="44">
        <v>64.26421666666667</v>
      </c>
      <c r="I28" s="16"/>
      <c r="J28" s="28">
        <v>22</v>
      </c>
      <c r="K28" s="5" t="s">
        <v>171</v>
      </c>
      <c r="L28" s="5" t="s">
        <v>5</v>
      </c>
      <c r="M28" s="30">
        <v>168.52018333333334</v>
      </c>
    </row>
    <row r="29" spans="1:13" ht="18" customHeight="1">
      <c r="A29" s="28">
        <v>23</v>
      </c>
      <c r="B29" s="5" t="s">
        <v>27</v>
      </c>
      <c r="C29" s="29">
        <v>2.5949305555555555</v>
      </c>
      <c r="D29" s="16"/>
      <c r="E29" s="28">
        <v>23</v>
      </c>
      <c r="F29" s="5" t="s">
        <v>174</v>
      </c>
      <c r="G29" s="5" t="s">
        <v>8</v>
      </c>
      <c r="H29" s="44">
        <v>59.984716666666664</v>
      </c>
      <c r="I29" s="16"/>
      <c r="J29" s="28">
        <v>23</v>
      </c>
      <c r="K29" s="5" t="s">
        <v>173</v>
      </c>
      <c r="L29" s="5" t="s">
        <v>7</v>
      </c>
      <c r="M29" s="30">
        <v>167.96270000000001</v>
      </c>
    </row>
    <row r="30" spans="1:13" ht="18" customHeight="1">
      <c r="A30" s="28">
        <v>24</v>
      </c>
      <c r="B30" s="5" t="s">
        <v>28</v>
      </c>
      <c r="C30" s="29">
        <v>2.5593733333333333</v>
      </c>
      <c r="D30" s="16"/>
      <c r="E30" s="28">
        <v>24</v>
      </c>
      <c r="F30" s="5" t="s">
        <v>176</v>
      </c>
      <c r="G30" s="5" t="s">
        <v>9</v>
      </c>
      <c r="H30" s="44">
        <v>59.591999999999999</v>
      </c>
      <c r="I30" s="16"/>
      <c r="J30" s="28">
        <v>24</v>
      </c>
      <c r="K30" s="5" t="s">
        <v>175</v>
      </c>
      <c r="L30" s="5" t="s">
        <v>16</v>
      </c>
      <c r="M30" s="30">
        <v>162.22446666666667</v>
      </c>
    </row>
    <row r="31" spans="1:13" ht="18" customHeight="1">
      <c r="A31" s="28">
        <v>25</v>
      </c>
      <c r="B31" s="5" t="s">
        <v>29</v>
      </c>
      <c r="C31" s="29">
        <v>2.4278997222222221</v>
      </c>
      <c r="D31" s="16"/>
      <c r="E31" s="28">
        <v>25</v>
      </c>
      <c r="F31" s="5" t="s">
        <v>178</v>
      </c>
      <c r="G31" s="5" t="s">
        <v>9</v>
      </c>
      <c r="H31" s="44">
        <v>59.25685</v>
      </c>
      <c r="I31" s="16"/>
      <c r="J31" s="28">
        <v>25</v>
      </c>
      <c r="K31" s="5" t="s">
        <v>177</v>
      </c>
      <c r="L31" s="5" t="s">
        <v>5</v>
      </c>
      <c r="M31" s="30">
        <v>149.07775000000001</v>
      </c>
    </row>
    <row r="32" spans="1:13" ht="18" customHeight="1">
      <c r="A32" s="28">
        <v>26</v>
      </c>
      <c r="B32" s="5" t="s">
        <v>30</v>
      </c>
      <c r="C32" s="29">
        <v>2.4032369444444446</v>
      </c>
      <c r="D32" s="16"/>
      <c r="E32" s="28">
        <v>26</v>
      </c>
      <c r="F32" s="5" t="s">
        <v>147</v>
      </c>
      <c r="G32" s="5" t="s">
        <v>5</v>
      </c>
      <c r="H32" s="44">
        <v>58.996716666666664</v>
      </c>
      <c r="I32" s="16"/>
      <c r="J32" s="28">
        <v>26</v>
      </c>
      <c r="K32" s="5" t="s">
        <v>179</v>
      </c>
      <c r="L32" s="5" t="s">
        <v>16</v>
      </c>
      <c r="M32" s="30">
        <v>148.14113333333333</v>
      </c>
    </row>
    <row r="33" spans="1:13" ht="18" customHeight="1">
      <c r="A33" s="28">
        <v>27</v>
      </c>
      <c r="B33" s="5" t="s">
        <v>31</v>
      </c>
      <c r="C33" s="29">
        <v>2.3111774999999999</v>
      </c>
      <c r="D33" s="16"/>
      <c r="E33" s="28">
        <v>27</v>
      </c>
      <c r="F33" s="5" t="s">
        <v>180</v>
      </c>
      <c r="G33" s="5" t="s">
        <v>5</v>
      </c>
      <c r="H33" s="44">
        <v>58.030183333333333</v>
      </c>
      <c r="I33" s="16"/>
      <c r="J33" s="28">
        <v>27</v>
      </c>
      <c r="K33" s="5" t="s">
        <v>6</v>
      </c>
      <c r="L33" s="5" t="s">
        <v>6</v>
      </c>
      <c r="M33" s="30">
        <v>145.89376666666666</v>
      </c>
    </row>
    <row r="34" spans="1:13" ht="18" customHeight="1">
      <c r="A34" s="28">
        <v>28</v>
      </c>
      <c r="B34" s="5" t="s">
        <v>32</v>
      </c>
      <c r="C34" s="29">
        <v>2.1296130555555557</v>
      </c>
      <c r="D34" s="16"/>
      <c r="E34" s="28">
        <v>28</v>
      </c>
      <c r="F34" s="5" t="s">
        <v>182</v>
      </c>
      <c r="G34" s="5" t="s">
        <v>6</v>
      </c>
      <c r="H34" s="44">
        <v>56.381383333333332</v>
      </c>
      <c r="I34" s="16"/>
      <c r="J34" s="28">
        <v>28</v>
      </c>
      <c r="K34" s="5" t="s">
        <v>181</v>
      </c>
      <c r="L34" s="5" t="s">
        <v>13</v>
      </c>
      <c r="M34" s="30">
        <v>142.68594999999999</v>
      </c>
    </row>
    <row r="35" spans="1:13" ht="18" customHeight="1">
      <c r="A35" s="28">
        <v>29</v>
      </c>
      <c r="B35" s="5" t="s">
        <v>33</v>
      </c>
      <c r="C35" s="29">
        <v>2.0317833333333333</v>
      </c>
      <c r="D35" s="16"/>
      <c r="E35" s="28">
        <v>29</v>
      </c>
      <c r="F35" s="5" t="s">
        <v>184</v>
      </c>
      <c r="G35" s="5" t="s">
        <v>12</v>
      </c>
      <c r="H35" s="44">
        <v>56.032516666666666</v>
      </c>
      <c r="I35" s="16"/>
      <c r="J35" s="28">
        <v>29</v>
      </c>
      <c r="K35" s="5" t="s">
        <v>183</v>
      </c>
      <c r="L35" s="5" t="s">
        <v>23</v>
      </c>
      <c r="M35" s="30">
        <v>140.49725000000001</v>
      </c>
    </row>
    <row r="36" spans="1:13" ht="18" customHeight="1">
      <c r="A36" s="28">
        <v>30</v>
      </c>
      <c r="B36" s="5" t="s">
        <v>34</v>
      </c>
      <c r="C36" s="29">
        <v>1.8532666666666666</v>
      </c>
      <c r="D36" s="16"/>
      <c r="E36" s="28">
        <v>30</v>
      </c>
      <c r="F36" s="5" t="s">
        <v>186</v>
      </c>
      <c r="G36" s="5" t="s">
        <v>27</v>
      </c>
      <c r="H36" s="44">
        <v>55.678566666666669</v>
      </c>
      <c r="I36" s="16"/>
      <c r="J36" s="28">
        <v>30</v>
      </c>
      <c r="K36" s="5" t="s">
        <v>185</v>
      </c>
      <c r="L36" s="5" t="s">
        <v>12</v>
      </c>
      <c r="M36" s="30">
        <v>138.87733333333333</v>
      </c>
    </row>
    <row r="37" spans="1:13" ht="18" customHeight="1">
      <c r="A37" s="28">
        <v>31</v>
      </c>
      <c r="B37" s="5" t="s">
        <v>35</v>
      </c>
      <c r="C37" s="29">
        <v>1.526148888888889</v>
      </c>
      <c r="D37" s="16"/>
      <c r="E37" s="28">
        <v>31</v>
      </c>
      <c r="F37" s="5" t="s">
        <v>188</v>
      </c>
      <c r="G37" s="5" t="s">
        <v>11</v>
      </c>
      <c r="H37" s="44">
        <v>55.64071666666667</v>
      </c>
      <c r="I37" s="16"/>
      <c r="J37" s="28">
        <v>31</v>
      </c>
      <c r="K37" s="5" t="s">
        <v>187</v>
      </c>
      <c r="L37" s="5" t="s">
        <v>27</v>
      </c>
      <c r="M37" s="30">
        <v>137.19011666666665</v>
      </c>
    </row>
    <row r="38" spans="1:13" ht="18" customHeight="1">
      <c r="A38" s="28">
        <v>32</v>
      </c>
      <c r="B38" s="5" t="s">
        <v>36</v>
      </c>
      <c r="C38" s="29">
        <v>1.510343611111111</v>
      </c>
      <c r="D38" s="16"/>
      <c r="E38" s="28">
        <v>32</v>
      </c>
      <c r="F38" s="5" t="s">
        <v>190</v>
      </c>
      <c r="G38" s="5" t="s">
        <v>12</v>
      </c>
      <c r="H38" s="44">
        <v>54.588016666666668</v>
      </c>
      <c r="I38" s="16"/>
      <c r="J38" s="28">
        <v>32</v>
      </c>
      <c r="K38" s="5" t="s">
        <v>189</v>
      </c>
      <c r="L38" s="5" t="s">
        <v>29</v>
      </c>
      <c r="M38" s="30">
        <v>136.6472</v>
      </c>
    </row>
    <row r="39" spans="1:13" ht="18" customHeight="1">
      <c r="A39" s="28">
        <v>33</v>
      </c>
      <c r="B39" s="5" t="s">
        <v>37</v>
      </c>
      <c r="C39" s="29">
        <v>1.4834613888888888</v>
      </c>
      <c r="D39" s="16"/>
      <c r="E39" s="28">
        <v>33</v>
      </c>
      <c r="F39" s="5" t="s">
        <v>192</v>
      </c>
      <c r="G39" s="5" t="s">
        <v>5</v>
      </c>
      <c r="H39" s="44">
        <v>53.564533333333337</v>
      </c>
      <c r="I39" s="16"/>
      <c r="J39" s="28">
        <v>33</v>
      </c>
      <c r="K39" s="5" t="s">
        <v>191</v>
      </c>
      <c r="L39" s="5" t="s">
        <v>11</v>
      </c>
      <c r="M39" s="30">
        <v>134.17878333333334</v>
      </c>
    </row>
    <row r="40" spans="1:13" ht="18" customHeight="1">
      <c r="A40" s="28">
        <v>34</v>
      </c>
      <c r="B40" s="5" t="s">
        <v>38</v>
      </c>
      <c r="C40" s="29">
        <v>1.4730099999999999</v>
      </c>
      <c r="D40" s="16"/>
      <c r="E40" s="28">
        <v>34</v>
      </c>
      <c r="F40" s="5" t="s">
        <v>194</v>
      </c>
      <c r="G40" s="5" t="s">
        <v>5</v>
      </c>
      <c r="H40" s="44">
        <v>50.267383333333335</v>
      </c>
      <c r="I40" s="16"/>
      <c r="J40" s="28">
        <v>34</v>
      </c>
      <c r="K40" s="5" t="s">
        <v>193</v>
      </c>
      <c r="L40" s="5" t="s">
        <v>17</v>
      </c>
      <c r="M40" s="30">
        <v>130.53331666666668</v>
      </c>
    </row>
    <row r="41" spans="1:13" ht="18" customHeight="1">
      <c r="A41" s="28">
        <v>35</v>
      </c>
      <c r="B41" s="5" t="s">
        <v>39</v>
      </c>
      <c r="C41" s="29">
        <v>1.4402786111111112</v>
      </c>
      <c r="D41" s="16"/>
      <c r="E41" s="28">
        <v>35</v>
      </c>
      <c r="F41" s="5" t="s">
        <v>196</v>
      </c>
      <c r="G41" s="5" t="s">
        <v>6</v>
      </c>
      <c r="H41" s="44">
        <v>50.252816666666668</v>
      </c>
      <c r="I41" s="16"/>
      <c r="J41" s="28">
        <v>35</v>
      </c>
      <c r="K41" s="5" t="s">
        <v>195</v>
      </c>
      <c r="L41" s="5" t="s">
        <v>17</v>
      </c>
      <c r="M41" s="30">
        <v>129.04191666666668</v>
      </c>
    </row>
    <row r="42" spans="1:13" ht="18" customHeight="1">
      <c r="A42" s="28">
        <v>36</v>
      </c>
      <c r="B42" s="5" t="s">
        <v>40</v>
      </c>
      <c r="C42" s="29">
        <v>1.397648611111111</v>
      </c>
      <c r="D42" s="16"/>
      <c r="E42" s="28">
        <v>36</v>
      </c>
      <c r="F42" s="5" t="s">
        <v>198</v>
      </c>
      <c r="G42" s="5" t="s">
        <v>6</v>
      </c>
      <c r="H42" s="44">
        <v>49.837466666666664</v>
      </c>
      <c r="I42" s="16"/>
      <c r="J42" s="28">
        <v>36</v>
      </c>
      <c r="K42" s="5" t="s">
        <v>197</v>
      </c>
      <c r="L42" s="5" t="s">
        <v>11</v>
      </c>
      <c r="M42" s="30">
        <v>128.45701666666668</v>
      </c>
    </row>
    <row r="43" spans="1:13" ht="18" customHeight="1">
      <c r="A43" s="28">
        <v>37</v>
      </c>
      <c r="B43" s="5" t="s">
        <v>41</v>
      </c>
      <c r="C43" s="29">
        <v>1.3593397222222223</v>
      </c>
      <c r="D43" s="16"/>
      <c r="E43" s="28">
        <v>37</v>
      </c>
      <c r="F43" s="5" t="s">
        <v>200</v>
      </c>
      <c r="G43" s="5" t="s">
        <v>6</v>
      </c>
      <c r="H43" s="44">
        <v>49.572749999999999</v>
      </c>
      <c r="I43" s="16"/>
      <c r="J43" s="28">
        <v>37</v>
      </c>
      <c r="K43" s="5" t="s">
        <v>199</v>
      </c>
      <c r="L43" s="5" t="s">
        <v>24</v>
      </c>
      <c r="M43" s="30">
        <v>128.04665</v>
      </c>
    </row>
    <row r="44" spans="1:13" ht="18" customHeight="1">
      <c r="A44" s="28">
        <v>38</v>
      </c>
      <c r="B44" s="5" t="s">
        <v>42</v>
      </c>
      <c r="C44" s="29">
        <v>1.2641758333333333</v>
      </c>
      <c r="D44" s="16"/>
      <c r="E44" s="28">
        <v>38</v>
      </c>
      <c r="F44" s="5" t="s">
        <v>202</v>
      </c>
      <c r="G44" s="5" t="s">
        <v>6</v>
      </c>
      <c r="H44" s="44">
        <v>49.404616666666669</v>
      </c>
      <c r="I44" s="16"/>
      <c r="J44" s="28">
        <v>38</v>
      </c>
      <c r="K44" s="5" t="s">
        <v>201</v>
      </c>
      <c r="L44" s="5" t="s">
        <v>28</v>
      </c>
      <c r="M44" s="30">
        <v>127.79783333333333</v>
      </c>
    </row>
    <row r="45" spans="1:13" ht="18" customHeight="1">
      <c r="A45" s="28">
        <v>39</v>
      </c>
      <c r="B45" s="5" t="s">
        <v>43</v>
      </c>
      <c r="C45" s="29">
        <v>1.2223119444444444</v>
      </c>
      <c r="D45" s="16"/>
      <c r="E45" s="28">
        <v>39</v>
      </c>
      <c r="F45" s="5" t="s">
        <v>204</v>
      </c>
      <c r="G45" s="5" t="s">
        <v>6</v>
      </c>
      <c r="H45" s="44">
        <v>49.314399999999999</v>
      </c>
      <c r="I45" s="16"/>
      <c r="J45" s="28">
        <v>39</v>
      </c>
      <c r="K45" s="5" t="s">
        <v>203</v>
      </c>
      <c r="L45" s="5" t="s">
        <v>13</v>
      </c>
      <c r="M45" s="30">
        <v>125.76916666666666</v>
      </c>
    </row>
    <row r="46" spans="1:13" ht="18" customHeight="1">
      <c r="A46" s="28">
        <v>40</v>
      </c>
      <c r="B46" s="5" t="s">
        <v>44</v>
      </c>
      <c r="C46" s="29">
        <v>1.2088908333333332</v>
      </c>
      <c r="D46" s="16"/>
      <c r="E46" s="28">
        <v>40</v>
      </c>
      <c r="F46" s="5" t="s">
        <v>181</v>
      </c>
      <c r="G46" s="5" t="s">
        <v>13</v>
      </c>
      <c r="H46" s="44">
        <v>49.160766666666667</v>
      </c>
      <c r="I46" s="16"/>
      <c r="J46" s="28">
        <v>40</v>
      </c>
      <c r="K46" s="5" t="s">
        <v>205</v>
      </c>
      <c r="L46" s="5" t="s">
        <v>10</v>
      </c>
      <c r="M46" s="30">
        <v>120.94031666666666</v>
      </c>
    </row>
    <row r="47" spans="1:13" ht="18" customHeight="1">
      <c r="A47" s="28">
        <v>41</v>
      </c>
      <c r="B47" s="5" t="s">
        <v>45</v>
      </c>
      <c r="C47" s="29">
        <v>1.1313186111111111</v>
      </c>
      <c r="D47" s="16"/>
      <c r="E47" s="28">
        <v>41</v>
      </c>
      <c r="F47" s="5" t="s">
        <v>207</v>
      </c>
      <c r="G47" s="5" t="s">
        <v>11</v>
      </c>
      <c r="H47" s="44">
        <v>48.411149999999999</v>
      </c>
      <c r="I47" s="16"/>
      <c r="J47" s="28">
        <v>41</v>
      </c>
      <c r="K47" s="5" t="s">
        <v>244</v>
      </c>
      <c r="L47" s="5" t="s">
        <v>7</v>
      </c>
      <c r="M47" s="30">
        <v>120.41686666666666</v>
      </c>
    </row>
    <row r="48" spans="1:13" ht="18" customHeight="1">
      <c r="A48" s="28">
        <v>42</v>
      </c>
      <c r="B48" s="5" t="s">
        <v>46</v>
      </c>
      <c r="C48" s="29">
        <v>1.0428608333333333</v>
      </c>
      <c r="D48" s="16"/>
      <c r="E48" s="28">
        <v>42</v>
      </c>
      <c r="F48" s="5" t="s">
        <v>209</v>
      </c>
      <c r="G48" s="5" t="s">
        <v>9</v>
      </c>
      <c r="H48" s="44">
        <v>47.83155</v>
      </c>
      <c r="I48" s="16"/>
      <c r="J48" s="28">
        <v>42</v>
      </c>
      <c r="K48" s="5" t="s">
        <v>208</v>
      </c>
      <c r="L48" s="5" t="s">
        <v>8</v>
      </c>
      <c r="M48" s="30">
        <v>115.82810000000001</v>
      </c>
    </row>
    <row r="49" spans="1:13" ht="18" customHeight="1">
      <c r="A49" s="28">
        <v>43</v>
      </c>
      <c r="B49" s="5" t="s">
        <v>47</v>
      </c>
      <c r="C49" s="29">
        <v>1.0243547222222222</v>
      </c>
      <c r="D49" s="16"/>
      <c r="E49" s="28">
        <v>43</v>
      </c>
      <c r="F49" s="5" t="s">
        <v>211</v>
      </c>
      <c r="G49" s="5" t="s">
        <v>14</v>
      </c>
      <c r="H49" s="44">
        <v>47.251466666666666</v>
      </c>
      <c r="I49" s="16"/>
      <c r="J49" s="28">
        <v>43</v>
      </c>
      <c r="K49" s="5" t="s">
        <v>210</v>
      </c>
      <c r="L49" s="5" t="s">
        <v>19</v>
      </c>
      <c r="M49" s="30">
        <v>109.71169999999999</v>
      </c>
    </row>
    <row r="50" spans="1:13" ht="18" customHeight="1">
      <c r="A50" s="28">
        <v>44</v>
      </c>
      <c r="B50" s="5" t="s">
        <v>48</v>
      </c>
      <c r="C50" s="29">
        <v>1.0004147222222222</v>
      </c>
      <c r="D50" s="16"/>
      <c r="E50" s="28">
        <v>44</v>
      </c>
      <c r="F50" s="5" t="s">
        <v>213</v>
      </c>
      <c r="G50" s="5" t="s">
        <v>6</v>
      </c>
      <c r="H50" s="44">
        <v>46.779366666666668</v>
      </c>
      <c r="I50" s="16"/>
      <c r="J50" s="28">
        <v>44</v>
      </c>
      <c r="K50" s="5" t="s">
        <v>212</v>
      </c>
      <c r="L50" s="5" t="s">
        <v>9</v>
      </c>
      <c r="M50" s="30">
        <v>108.90828333333333</v>
      </c>
    </row>
    <row r="51" spans="1:13" ht="18" customHeight="1">
      <c r="A51" s="28">
        <v>45</v>
      </c>
      <c r="B51" s="5" t="s">
        <v>49</v>
      </c>
      <c r="C51" s="29">
        <v>0.97685999999999995</v>
      </c>
      <c r="D51" s="16"/>
      <c r="E51" s="28">
        <v>45</v>
      </c>
      <c r="F51" s="5" t="s">
        <v>215</v>
      </c>
      <c r="G51" s="5" t="s">
        <v>5</v>
      </c>
      <c r="H51" s="44">
        <v>46.714550000000003</v>
      </c>
      <c r="I51" s="16"/>
      <c r="J51" s="28">
        <v>45</v>
      </c>
      <c r="K51" s="5" t="s">
        <v>214</v>
      </c>
      <c r="L51" s="5" t="s">
        <v>32</v>
      </c>
      <c r="M51" s="30">
        <v>106.99893333333333</v>
      </c>
    </row>
    <row r="52" spans="1:13" ht="18" customHeight="1">
      <c r="A52" s="28">
        <v>46</v>
      </c>
      <c r="B52" s="5" t="s">
        <v>50</v>
      </c>
      <c r="C52" s="29">
        <v>0.96039916666666669</v>
      </c>
      <c r="D52" s="16"/>
      <c r="E52" s="28">
        <v>46</v>
      </c>
      <c r="F52" s="5" t="s">
        <v>217</v>
      </c>
      <c r="G52" s="5" t="s">
        <v>7</v>
      </c>
      <c r="H52" s="44">
        <v>45.705716666666667</v>
      </c>
      <c r="I52" s="16"/>
      <c r="J52" s="28">
        <v>46</v>
      </c>
      <c r="K52" s="5" t="s">
        <v>216</v>
      </c>
      <c r="L52" s="5" t="s">
        <v>26</v>
      </c>
      <c r="M52" s="30">
        <v>106.43083333333334</v>
      </c>
    </row>
    <row r="53" spans="1:13" ht="18" customHeight="1">
      <c r="A53" s="28">
        <v>47</v>
      </c>
      <c r="B53" s="5" t="s">
        <v>51</v>
      </c>
      <c r="C53" s="29">
        <v>0.93734555555555554</v>
      </c>
      <c r="D53" s="16"/>
      <c r="E53" s="28">
        <v>47</v>
      </c>
      <c r="F53" s="5" t="s">
        <v>219</v>
      </c>
      <c r="G53" s="5" t="s">
        <v>5</v>
      </c>
      <c r="H53" s="44">
        <v>45.406366666666663</v>
      </c>
      <c r="I53" s="16"/>
      <c r="J53" s="28">
        <v>47</v>
      </c>
      <c r="K53" s="5" t="s">
        <v>218</v>
      </c>
      <c r="L53" s="5" t="s">
        <v>20</v>
      </c>
      <c r="M53" s="30">
        <v>105.90445</v>
      </c>
    </row>
    <row r="54" spans="1:13" ht="18" customHeight="1">
      <c r="A54" s="28">
        <v>48</v>
      </c>
      <c r="B54" s="5" t="s">
        <v>52</v>
      </c>
      <c r="C54" s="29">
        <v>0.92298222222222226</v>
      </c>
      <c r="D54" s="16"/>
      <c r="E54" s="28">
        <v>48</v>
      </c>
      <c r="F54" s="5" t="s">
        <v>221</v>
      </c>
      <c r="G54" s="5" t="s">
        <v>7</v>
      </c>
      <c r="H54" s="44">
        <v>45.267933333333332</v>
      </c>
      <c r="I54" s="16"/>
      <c r="J54" s="28">
        <v>48</v>
      </c>
      <c r="K54" s="5" t="s">
        <v>334</v>
      </c>
      <c r="L54" s="5" t="s">
        <v>10</v>
      </c>
      <c r="M54" s="30">
        <v>102.5929</v>
      </c>
    </row>
    <row r="55" spans="1:13" ht="18" customHeight="1">
      <c r="A55" s="28">
        <v>49</v>
      </c>
      <c r="B55" s="5" t="s">
        <v>53</v>
      </c>
      <c r="C55" s="29">
        <v>0.9217008333333333</v>
      </c>
      <c r="D55" s="16"/>
      <c r="E55" s="28">
        <v>49</v>
      </c>
      <c r="F55" s="5" t="s">
        <v>223</v>
      </c>
      <c r="G55" s="5" t="s">
        <v>21</v>
      </c>
      <c r="H55" s="44">
        <v>44.662799999999997</v>
      </c>
      <c r="I55" s="16"/>
      <c r="J55" s="28">
        <v>49</v>
      </c>
      <c r="K55" s="5" t="s">
        <v>220</v>
      </c>
      <c r="L55" s="5" t="s">
        <v>33</v>
      </c>
      <c r="M55" s="30">
        <v>91.269866666666672</v>
      </c>
    </row>
    <row r="56" spans="1:13" ht="18" customHeight="1">
      <c r="A56" s="28">
        <v>50</v>
      </c>
      <c r="B56" s="5" t="s">
        <v>54</v>
      </c>
      <c r="C56" s="29">
        <v>0.87417972222222218</v>
      </c>
      <c r="D56" s="16"/>
      <c r="E56" s="28">
        <v>50</v>
      </c>
      <c r="F56" s="5" t="s">
        <v>225</v>
      </c>
      <c r="G56" s="5" t="s">
        <v>9</v>
      </c>
      <c r="H56" s="44">
        <v>44.518883333333335</v>
      </c>
      <c r="I56" s="16"/>
      <c r="J56" s="28">
        <v>50</v>
      </c>
      <c r="K56" s="5" t="s">
        <v>222</v>
      </c>
      <c r="L56" s="5" t="s">
        <v>15</v>
      </c>
      <c r="M56" s="30">
        <v>88.534833333333339</v>
      </c>
    </row>
    <row r="57" spans="1:13" ht="18" customHeight="1">
      <c r="A57" s="28">
        <v>51</v>
      </c>
      <c r="B57" s="5" t="s">
        <v>55</v>
      </c>
      <c r="C57" s="29">
        <v>0.87026305555555561</v>
      </c>
      <c r="D57" s="16"/>
      <c r="E57" s="28">
        <v>51</v>
      </c>
      <c r="F57" s="5" t="s">
        <v>227</v>
      </c>
      <c r="G57" s="5" t="s">
        <v>8</v>
      </c>
      <c r="H57" s="44">
        <v>44.077500000000001</v>
      </c>
      <c r="I57" s="16"/>
      <c r="J57" s="28">
        <v>51</v>
      </c>
      <c r="K57" s="5" t="s">
        <v>224</v>
      </c>
      <c r="L57" s="5" t="s">
        <v>38</v>
      </c>
      <c r="M57" s="30">
        <v>88.313266666666664</v>
      </c>
    </row>
    <row r="58" spans="1:13" ht="18" customHeight="1">
      <c r="A58" s="28">
        <v>52</v>
      </c>
      <c r="B58" s="5" t="s">
        <v>56</v>
      </c>
      <c r="C58" s="29">
        <v>0.8642522222222222</v>
      </c>
      <c r="D58" s="16"/>
      <c r="E58" s="28">
        <v>52</v>
      </c>
      <c r="F58" s="5" t="s">
        <v>229</v>
      </c>
      <c r="G58" s="5" t="s">
        <v>11</v>
      </c>
      <c r="H58" s="44">
        <v>43.632866666666665</v>
      </c>
      <c r="I58" s="16"/>
      <c r="J58" s="28">
        <v>52</v>
      </c>
      <c r="K58" s="5" t="s">
        <v>272</v>
      </c>
      <c r="L58" s="5" t="s">
        <v>12</v>
      </c>
      <c r="M58" s="30">
        <v>87.646199999999993</v>
      </c>
    </row>
    <row r="59" spans="1:13" ht="18" customHeight="1">
      <c r="A59" s="28">
        <v>53</v>
      </c>
      <c r="B59" s="5" t="s">
        <v>57</v>
      </c>
      <c r="C59" s="29">
        <v>0.79473277777777773</v>
      </c>
      <c r="D59" s="16"/>
      <c r="E59" s="28">
        <v>53</v>
      </c>
      <c r="F59" s="5" t="s">
        <v>231</v>
      </c>
      <c r="G59" s="5" t="s">
        <v>18</v>
      </c>
      <c r="H59" s="44">
        <v>43.256316666666663</v>
      </c>
      <c r="I59" s="16"/>
      <c r="J59" s="28">
        <v>53</v>
      </c>
      <c r="K59" s="5" t="s">
        <v>226</v>
      </c>
      <c r="L59" s="5" t="s">
        <v>19</v>
      </c>
      <c r="M59" s="30">
        <v>84.480833333333337</v>
      </c>
    </row>
    <row r="60" spans="1:13" ht="18" customHeight="1">
      <c r="A60" s="28">
        <v>54</v>
      </c>
      <c r="B60" s="5" t="s">
        <v>58</v>
      </c>
      <c r="C60" s="29">
        <v>0.77248666666666665</v>
      </c>
      <c r="D60" s="16"/>
      <c r="E60" s="28">
        <v>54</v>
      </c>
      <c r="F60" s="5" t="s">
        <v>232</v>
      </c>
      <c r="G60" s="5" t="s">
        <v>6</v>
      </c>
      <c r="H60" s="44">
        <v>43.077449999999999</v>
      </c>
      <c r="I60" s="16"/>
      <c r="J60" s="28">
        <v>54</v>
      </c>
      <c r="K60" s="5" t="s">
        <v>228</v>
      </c>
      <c r="L60" s="5" t="s">
        <v>34</v>
      </c>
      <c r="M60" s="30">
        <v>82.130449999999996</v>
      </c>
    </row>
    <row r="61" spans="1:13" ht="18" customHeight="1">
      <c r="A61" s="28">
        <v>55</v>
      </c>
      <c r="B61" s="5" t="s">
        <v>59</v>
      </c>
      <c r="C61" s="29">
        <v>0.76991722222222225</v>
      </c>
      <c r="D61" s="16"/>
      <c r="E61" s="28">
        <v>55</v>
      </c>
      <c r="F61" s="5" t="s">
        <v>234</v>
      </c>
      <c r="G61" s="5" t="s">
        <v>6</v>
      </c>
      <c r="H61" s="44">
        <v>42.818533333333335</v>
      </c>
      <c r="I61" s="16"/>
      <c r="J61" s="28">
        <v>55</v>
      </c>
      <c r="K61" s="5" t="s">
        <v>335</v>
      </c>
      <c r="L61" s="5" t="s">
        <v>36</v>
      </c>
      <c r="M61" s="30">
        <v>79.076499999999996</v>
      </c>
    </row>
    <row r="62" spans="1:13" ht="18" customHeight="1">
      <c r="A62" s="28">
        <v>56</v>
      </c>
      <c r="B62" s="5" t="s">
        <v>60</v>
      </c>
      <c r="C62" s="29">
        <v>0.76724000000000003</v>
      </c>
      <c r="D62" s="16"/>
      <c r="E62" s="28">
        <v>56</v>
      </c>
      <c r="F62" s="5" t="s">
        <v>235</v>
      </c>
      <c r="G62" s="5" t="s">
        <v>18</v>
      </c>
      <c r="H62" s="44">
        <v>42.366599999999998</v>
      </c>
      <c r="I62" s="16"/>
      <c r="J62" s="28">
        <v>56</v>
      </c>
      <c r="K62" s="5" t="s">
        <v>230</v>
      </c>
      <c r="L62" s="5" t="s">
        <v>20</v>
      </c>
      <c r="M62" s="30">
        <v>77.424366666666671</v>
      </c>
    </row>
    <row r="63" spans="1:13" ht="18" customHeight="1">
      <c r="A63" s="28">
        <v>57</v>
      </c>
      <c r="B63" s="5" t="s">
        <v>61</v>
      </c>
      <c r="C63" s="29">
        <v>0.65778694444444441</v>
      </c>
      <c r="D63" s="16"/>
      <c r="E63" s="28">
        <v>57</v>
      </c>
      <c r="F63" s="5" t="s">
        <v>237</v>
      </c>
      <c r="G63" s="5" t="s">
        <v>9</v>
      </c>
      <c r="H63" s="44">
        <v>41.546383333333331</v>
      </c>
      <c r="I63" s="16"/>
      <c r="J63" s="28">
        <v>57</v>
      </c>
      <c r="K63" s="5" t="s">
        <v>233</v>
      </c>
      <c r="L63" s="5" t="s">
        <v>30</v>
      </c>
      <c r="M63" s="30">
        <v>73.640483333333336</v>
      </c>
    </row>
    <row r="64" spans="1:13" ht="18" customHeight="1">
      <c r="A64" s="28">
        <v>58</v>
      </c>
      <c r="B64" s="5" t="s">
        <v>62</v>
      </c>
      <c r="C64" s="29">
        <v>0.64544749999999995</v>
      </c>
      <c r="D64" s="16"/>
      <c r="E64" s="28">
        <v>58</v>
      </c>
      <c r="F64" s="5" t="s">
        <v>239</v>
      </c>
      <c r="G64" s="5" t="s">
        <v>5</v>
      </c>
      <c r="H64" s="44">
        <v>41.501300000000001</v>
      </c>
      <c r="I64" s="16"/>
      <c r="J64" s="28">
        <v>58</v>
      </c>
      <c r="K64" s="5" t="s">
        <v>236</v>
      </c>
      <c r="L64" s="5" t="s">
        <v>31</v>
      </c>
      <c r="M64" s="30">
        <v>68.235749999999996</v>
      </c>
    </row>
    <row r="65" spans="1:13" ht="18" customHeight="1">
      <c r="A65" s="28">
        <v>59</v>
      </c>
      <c r="B65" s="5" t="s">
        <v>63</v>
      </c>
      <c r="C65" s="29">
        <v>0.64256666666666662</v>
      </c>
      <c r="D65" s="16"/>
      <c r="E65" s="28">
        <v>59</v>
      </c>
      <c r="F65" s="5" t="s">
        <v>241</v>
      </c>
      <c r="G65" s="5" t="s">
        <v>14</v>
      </c>
      <c r="H65" s="44">
        <v>41.40956666666667</v>
      </c>
      <c r="I65" s="16"/>
      <c r="J65" s="28">
        <v>59</v>
      </c>
      <c r="K65" s="5" t="s">
        <v>238</v>
      </c>
      <c r="L65" s="5" t="s">
        <v>10</v>
      </c>
      <c r="M65" s="30">
        <v>66.422200000000004</v>
      </c>
    </row>
    <row r="66" spans="1:13" ht="18" customHeight="1">
      <c r="A66" s="28">
        <v>60</v>
      </c>
      <c r="B66" s="5" t="s">
        <v>64</v>
      </c>
      <c r="C66" s="29">
        <v>0.62936027777777781</v>
      </c>
      <c r="D66" s="16"/>
      <c r="E66" s="28">
        <v>60</v>
      </c>
      <c r="F66" s="5" t="s">
        <v>243</v>
      </c>
      <c r="G66" s="5" t="s">
        <v>8</v>
      </c>
      <c r="H66" s="44">
        <v>41.383383333333335</v>
      </c>
      <c r="I66" s="16"/>
      <c r="J66" s="28">
        <v>60</v>
      </c>
      <c r="K66" s="5" t="s">
        <v>240</v>
      </c>
      <c r="L66" s="5" t="s">
        <v>14</v>
      </c>
      <c r="M66" s="30">
        <v>65.13655</v>
      </c>
    </row>
    <row r="67" spans="1:13" ht="18" customHeight="1">
      <c r="A67" s="28">
        <v>61</v>
      </c>
      <c r="B67" s="5" t="s">
        <v>65</v>
      </c>
      <c r="C67" s="29">
        <v>0.6048472222222222</v>
      </c>
      <c r="D67" s="16"/>
      <c r="E67" s="28">
        <v>61</v>
      </c>
      <c r="F67" s="5" t="s">
        <v>245</v>
      </c>
      <c r="G67" s="5" t="s">
        <v>5</v>
      </c>
      <c r="H67" s="44">
        <v>41.209083333333332</v>
      </c>
      <c r="I67" s="16"/>
      <c r="J67" s="28">
        <v>61</v>
      </c>
      <c r="K67" s="5" t="s">
        <v>242</v>
      </c>
      <c r="L67" s="5" t="s">
        <v>25</v>
      </c>
      <c r="M67" s="30">
        <v>64.994466666666668</v>
      </c>
    </row>
    <row r="68" spans="1:13" ht="18" customHeight="1">
      <c r="A68" s="28">
        <v>62</v>
      </c>
      <c r="B68" s="5" t="s">
        <v>66</v>
      </c>
      <c r="C68" s="29">
        <v>0.58878750000000002</v>
      </c>
      <c r="D68" s="16"/>
      <c r="E68" s="28">
        <v>62</v>
      </c>
      <c r="F68" s="5" t="s">
        <v>247</v>
      </c>
      <c r="G68" s="5" t="s">
        <v>5</v>
      </c>
      <c r="H68" s="44">
        <v>40.812216666666664</v>
      </c>
      <c r="I68" s="16"/>
      <c r="J68" s="28">
        <v>62</v>
      </c>
      <c r="K68" s="5" t="s">
        <v>246</v>
      </c>
      <c r="L68" s="5" t="s">
        <v>31</v>
      </c>
      <c r="M68" s="30">
        <v>63.330783333333336</v>
      </c>
    </row>
    <row r="69" spans="1:13" ht="18" customHeight="1">
      <c r="A69" s="28">
        <v>63</v>
      </c>
      <c r="B69" s="5" t="s">
        <v>67</v>
      </c>
      <c r="C69" s="29">
        <v>0.58418777777777775</v>
      </c>
      <c r="D69" s="16"/>
      <c r="E69" s="28">
        <v>63</v>
      </c>
      <c r="F69" s="5" t="s">
        <v>249</v>
      </c>
      <c r="G69" s="5" t="s">
        <v>18</v>
      </c>
      <c r="H69" s="44">
        <v>40.622900000000001</v>
      </c>
      <c r="I69" s="16"/>
      <c r="J69" s="28">
        <v>63</v>
      </c>
      <c r="K69" s="5" t="s">
        <v>248</v>
      </c>
      <c r="L69" s="5" t="s">
        <v>40</v>
      </c>
      <c r="M69" s="30">
        <v>61.830116666666669</v>
      </c>
    </row>
    <row r="70" spans="1:13" ht="18" customHeight="1">
      <c r="A70" s="28">
        <v>64</v>
      </c>
      <c r="B70" s="5" t="s">
        <v>68</v>
      </c>
      <c r="C70" s="29">
        <v>0.57795472222222222</v>
      </c>
      <c r="D70" s="16"/>
      <c r="E70" s="28">
        <v>64</v>
      </c>
      <c r="F70" s="5" t="s">
        <v>253</v>
      </c>
      <c r="G70" s="5" t="s">
        <v>7</v>
      </c>
      <c r="H70" s="44">
        <v>40.272616666666664</v>
      </c>
      <c r="I70" s="16"/>
      <c r="J70" s="28">
        <v>64</v>
      </c>
      <c r="K70" s="5" t="s">
        <v>250</v>
      </c>
      <c r="L70" s="5" t="s">
        <v>39</v>
      </c>
      <c r="M70" s="30">
        <v>61.559150000000002</v>
      </c>
    </row>
    <row r="71" spans="1:13" ht="18" customHeight="1">
      <c r="A71" s="28">
        <v>65</v>
      </c>
      <c r="B71" s="5" t="s">
        <v>69</v>
      </c>
      <c r="C71" s="29">
        <v>0.57524833333333336</v>
      </c>
      <c r="D71" s="16"/>
      <c r="E71" s="28">
        <v>65</v>
      </c>
      <c r="F71" s="5" t="s">
        <v>255</v>
      </c>
      <c r="G71" s="5" t="s">
        <v>18</v>
      </c>
      <c r="H71" s="44">
        <v>40.190216666666664</v>
      </c>
      <c r="I71" s="16"/>
      <c r="J71" s="28">
        <v>65</v>
      </c>
      <c r="K71" s="5" t="s">
        <v>252</v>
      </c>
      <c r="L71" s="5" t="s">
        <v>13</v>
      </c>
      <c r="M71" s="30">
        <v>57.091233333333335</v>
      </c>
    </row>
    <row r="72" spans="1:13" ht="18" customHeight="1">
      <c r="A72" s="28">
        <v>66</v>
      </c>
      <c r="B72" s="5" t="s">
        <v>70</v>
      </c>
      <c r="C72" s="29">
        <v>0.57137249999999995</v>
      </c>
      <c r="D72" s="16"/>
      <c r="E72" s="28">
        <v>66</v>
      </c>
      <c r="F72" s="5" t="s">
        <v>256</v>
      </c>
      <c r="G72" s="5" t="s">
        <v>7</v>
      </c>
      <c r="H72" s="44">
        <v>39.674883333333334</v>
      </c>
      <c r="I72" s="16"/>
      <c r="J72" s="28">
        <v>66</v>
      </c>
      <c r="K72" s="5" t="s">
        <v>254</v>
      </c>
      <c r="L72" s="5" t="s">
        <v>12</v>
      </c>
      <c r="M72" s="30">
        <v>56.603200000000001</v>
      </c>
    </row>
    <row r="73" spans="1:13" ht="18" customHeight="1">
      <c r="A73" s="28">
        <v>67</v>
      </c>
      <c r="B73" s="5" t="s">
        <v>71</v>
      </c>
      <c r="C73" s="29">
        <v>0.56330666666666662</v>
      </c>
      <c r="D73" s="16"/>
      <c r="E73" s="28">
        <v>67</v>
      </c>
      <c r="F73" s="5" t="s">
        <v>189</v>
      </c>
      <c r="G73" s="5" t="s">
        <v>29</v>
      </c>
      <c r="H73" s="44">
        <v>39.643000000000001</v>
      </c>
      <c r="I73" s="16"/>
      <c r="J73" s="28">
        <v>67</v>
      </c>
      <c r="K73" s="5" t="s">
        <v>257</v>
      </c>
      <c r="L73" s="5" t="s">
        <v>15</v>
      </c>
      <c r="M73" s="30">
        <v>55.9268</v>
      </c>
    </row>
    <row r="74" spans="1:13" ht="18" customHeight="1">
      <c r="A74" s="28">
        <v>68</v>
      </c>
      <c r="B74" s="5" t="s">
        <v>72</v>
      </c>
      <c r="C74" s="29">
        <v>0.55796944444444441</v>
      </c>
      <c r="D74" s="16"/>
      <c r="E74" s="28">
        <v>68</v>
      </c>
      <c r="F74" s="5" t="s">
        <v>259</v>
      </c>
      <c r="G74" s="5" t="s">
        <v>9</v>
      </c>
      <c r="H74" s="44">
        <v>39.427933333333335</v>
      </c>
      <c r="I74" s="16"/>
      <c r="J74" s="28">
        <v>68</v>
      </c>
      <c r="K74" s="5" t="s">
        <v>258</v>
      </c>
      <c r="L74" s="5" t="s">
        <v>13</v>
      </c>
      <c r="M74" s="30">
        <v>55.613100000000003</v>
      </c>
    </row>
    <row r="75" spans="1:13" ht="18" customHeight="1">
      <c r="A75" s="28">
        <v>69</v>
      </c>
      <c r="B75" s="5" t="s">
        <v>73</v>
      </c>
      <c r="C75" s="29">
        <v>0.53642500000000004</v>
      </c>
      <c r="D75" s="16"/>
      <c r="E75" s="28">
        <v>69</v>
      </c>
      <c r="F75" s="5" t="s">
        <v>261</v>
      </c>
      <c r="G75" s="5" t="s">
        <v>6</v>
      </c>
      <c r="H75" s="44">
        <v>39.401633333333336</v>
      </c>
      <c r="I75" s="16"/>
      <c r="J75" s="28">
        <v>69</v>
      </c>
      <c r="K75" s="5" t="s">
        <v>270</v>
      </c>
      <c r="L75" s="5" t="s">
        <v>24</v>
      </c>
      <c r="M75" s="30">
        <v>54.525199999999998</v>
      </c>
    </row>
    <row r="76" spans="1:13" ht="18" customHeight="1">
      <c r="A76" s="28">
        <v>70</v>
      </c>
      <c r="B76" s="5" t="s">
        <v>74</v>
      </c>
      <c r="C76" s="29">
        <v>0.53555944444444448</v>
      </c>
      <c r="D76" s="16"/>
      <c r="E76" s="28">
        <v>70</v>
      </c>
      <c r="F76" s="5" t="s">
        <v>263</v>
      </c>
      <c r="G76" s="5" t="s">
        <v>5</v>
      </c>
      <c r="H76" s="44">
        <v>39.323016666666668</v>
      </c>
      <c r="I76" s="16"/>
      <c r="J76" s="28">
        <v>70</v>
      </c>
      <c r="K76" s="5" t="s">
        <v>260</v>
      </c>
      <c r="L76" s="5" t="s">
        <v>53</v>
      </c>
      <c r="M76" s="30">
        <v>54.5002</v>
      </c>
    </row>
    <row r="77" spans="1:13" ht="18" customHeight="1">
      <c r="A77" s="28">
        <v>71</v>
      </c>
      <c r="B77" s="5" t="s">
        <v>75</v>
      </c>
      <c r="C77" s="29">
        <v>0.52607333333333328</v>
      </c>
      <c r="D77" s="16"/>
      <c r="E77" s="28">
        <v>71</v>
      </c>
      <c r="F77" s="5" t="s">
        <v>265</v>
      </c>
      <c r="G77" s="5" t="s">
        <v>6</v>
      </c>
      <c r="H77" s="44">
        <v>39.18013333333333</v>
      </c>
      <c r="I77" s="16"/>
      <c r="J77" s="28">
        <v>71</v>
      </c>
      <c r="K77" s="5" t="s">
        <v>262</v>
      </c>
      <c r="L77" s="5" t="s">
        <v>9</v>
      </c>
      <c r="M77" s="30">
        <v>52.543599999999998</v>
      </c>
    </row>
    <row r="78" spans="1:13" ht="18" customHeight="1">
      <c r="A78" s="28">
        <v>72</v>
      </c>
      <c r="B78" s="5" t="s">
        <v>76</v>
      </c>
      <c r="C78" s="29">
        <v>0.52345472222222222</v>
      </c>
      <c r="D78" s="16"/>
      <c r="E78" s="28">
        <v>72</v>
      </c>
      <c r="F78" s="5" t="s">
        <v>267</v>
      </c>
      <c r="G78" s="5" t="s">
        <v>11</v>
      </c>
      <c r="H78" s="44">
        <v>39.129800000000003</v>
      </c>
      <c r="I78" s="16"/>
      <c r="J78" s="28">
        <v>72</v>
      </c>
      <c r="K78" s="5" t="s">
        <v>264</v>
      </c>
      <c r="L78" s="5" t="s">
        <v>23</v>
      </c>
      <c r="M78" s="30">
        <v>52.16825</v>
      </c>
    </row>
    <row r="79" spans="1:13" ht="18" customHeight="1">
      <c r="A79" s="28">
        <v>73</v>
      </c>
      <c r="B79" s="5" t="s">
        <v>77</v>
      </c>
      <c r="C79" s="29">
        <v>0.51525972222222227</v>
      </c>
      <c r="D79" s="16"/>
      <c r="E79" s="28">
        <v>73</v>
      </c>
      <c r="F79" s="5" t="s">
        <v>269</v>
      </c>
      <c r="G79" s="5" t="s">
        <v>7</v>
      </c>
      <c r="H79" s="44">
        <v>39.037999999999997</v>
      </c>
      <c r="I79" s="16"/>
      <c r="J79" s="28">
        <v>73</v>
      </c>
      <c r="K79" s="5" t="s">
        <v>266</v>
      </c>
      <c r="L79" s="5" t="s">
        <v>42</v>
      </c>
      <c r="M79" s="30">
        <v>51.807549999999999</v>
      </c>
    </row>
    <row r="80" spans="1:13" ht="18" customHeight="1">
      <c r="A80" s="28">
        <v>74</v>
      </c>
      <c r="B80" s="5" t="s">
        <v>78</v>
      </c>
      <c r="C80" s="29">
        <v>0.5058083333333333</v>
      </c>
      <c r="D80" s="16"/>
      <c r="E80" s="28">
        <v>74</v>
      </c>
      <c r="F80" s="5" t="s">
        <v>271</v>
      </c>
      <c r="G80" s="5" t="s">
        <v>6</v>
      </c>
      <c r="H80" s="44">
        <v>38.56335</v>
      </c>
      <c r="I80" s="16"/>
      <c r="J80" s="28">
        <v>74</v>
      </c>
      <c r="K80" s="5" t="s">
        <v>268</v>
      </c>
      <c r="L80" s="5" t="s">
        <v>46</v>
      </c>
      <c r="M80" s="30">
        <v>51.616999999999997</v>
      </c>
    </row>
    <row r="81" spans="1:13" ht="18" customHeight="1">
      <c r="A81" s="28">
        <v>75</v>
      </c>
      <c r="B81" s="5" t="s">
        <v>79</v>
      </c>
      <c r="C81" s="29">
        <v>0.50132972222222227</v>
      </c>
      <c r="D81" s="16"/>
      <c r="E81" s="28">
        <v>75</v>
      </c>
      <c r="F81" s="5" t="s">
        <v>145</v>
      </c>
      <c r="G81" s="5" t="s">
        <v>5</v>
      </c>
      <c r="H81" s="44">
        <v>38.457383333333333</v>
      </c>
      <c r="I81" s="16"/>
      <c r="J81" s="28">
        <v>75</v>
      </c>
      <c r="K81" s="5" t="s">
        <v>285</v>
      </c>
      <c r="L81" s="5" t="s">
        <v>51</v>
      </c>
      <c r="M81" s="30">
        <v>50.907166666666669</v>
      </c>
    </row>
    <row r="82" spans="1:13" ht="18" customHeight="1">
      <c r="A82" s="28">
        <v>76</v>
      </c>
      <c r="B82" s="5" t="s">
        <v>80</v>
      </c>
      <c r="C82" s="29">
        <v>0.49604305555555556</v>
      </c>
      <c r="D82" s="16"/>
      <c r="E82" s="28">
        <v>76</v>
      </c>
      <c r="F82" s="5" t="s">
        <v>274</v>
      </c>
      <c r="G82" s="5" t="s">
        <v>12</v>
      </c>
      <c r="H82" s="44">
        <v>38.339849999999998</v>
      </c>
      <c r="I82" s="16"/>
      <c r="J82" s="28">
        <v>76</v>
      </c>
      <c r="K82" s="5" t="s">
        <v>273</v>
      </c>
      <c r="L82" s="5" t="s">
        <v>41</v>
      </c>
      <c r="M82" s="30">
        <v>49.198816666666666</v>
      </c>
    </row>
    <row r="83" spans="1:13" ht="18" customHeight="1">
      <c r="A83" s="28">
        <v>77</v>
      </c>
      <c r="B83" s="5" t="s">
        <v>81</v>
      </c>
      <c r="C83" s="29">
        <v>0.49022888888888888</v>
      </c>
      <c r="D83" s="16"/>
      <c r="E83" s="28">
        <v>77</v>
      </c>
      <c r="F83" s="5" t="s">
        <v>276</v>
      </c>
      <c r="G83" s="5" t="s">
        <v>12</v>
      </c>
      <c r="H83" s="44">
        <v>37.623316666666668</v>
      </c>
      <c r="I83" s="16"/>
      <c r="J83" s="28">
        <v>77</v>
      </c>
      <c r="K83" s="5" t="s">
        <v>275</v>
      </c>
      <c r="L83" s="5" t="s">
        <v>56</v>
      </c>
      <c r="M83" s="30">
        <v>48.018916666666669</v>
      </c>
    </row>
    <row r="84" spans="1:13" ht="18" customHeight="1">
      <c r="A84" s="28">
        <v>78</v>
      </c>
      <c r="B84" s="5" t="s">
        <v>82</v>
      </c>
      <c r="C84" s="29">
        <v>0.47292805555555556</v>
      </c>
      <c r="D84" s="16"/>
      <c r="E84" s="28">
        <v>78</v>
      </c>
      <c r="F84" s="5" t="s">
        <v>278</v>
      </c>
      <c r="G84" s="5" t="s">
        <v>6</v>
      </c>
      <c r="H84" s="44">
        <v>37.274333333333331</v>
      </c>
      <c r="I84" s="16"/>
      <c r="J84" s="28">
        <v>78</v>
      </c>
      <c r="K84" s="5" t="s">
        <v>277</v>
      </c>
      <c r="L84" s="5" t="s">
        <v>47</v>
      </c>
      <c r="M84" s="30">
        <v>46.793799999999997</v>
      </c>
    </row>
    <row r="85" spans="1:13" ht="18" customHeight="1">
      <c r="A85" s="28">
        <v>79</v>
      </c>
      <c r="B85" s="5" t="s">
        <v>83</v>
      </c>
      <c r="C85" s="29">
        <v>0.47239638888888891</v>
      </c>
      <c r="D85" s="16"/>
      <c r="E85" s="28">
        <v>79</v>
      </c>
      <c r="F85" s="5" t="s">
        <v>280</v>
      </c>
      <c r="G85" s="5" t="s">
        <v>13</v>
      </c>
      <c r="H85" s="44">
        <v>36.484450000000002</v>
      </c>
      <c r="I85" s="16"/>
      <c r="J85" s="28">
        <v>79</v>
      </c>
      <c r="K85" s="5" t="s">
        <v>279</v>
      </c>
      <c r="L85" s="5" t="s">
        <v>43</v>
      </c>
      <c r="M85" s="30">
        <v>45.763733333333334</v>
      </c>
    </row>
    <row r="86" spans="1:13" ht="18" customHeight="1">
      <c r="A86" s="28">
        <v>80</v>
      </c>
      <c r="B86" s="5" t="s">
        <v>84</v>
      </c>
      <c r="C86" s="29">
        <v>0.46613944444444444</v>
      </c>
      <c r="D86" s="16"/>
      <c r="E86" s="28">
        <v>80</v>
      </c>
      <c r="F86" s="5" t="s">
        <v>146</v>
      </c>
      <c r="G86" s="5" t="s">
        <v>23</v>
      </c>
      <c r="H86" s="44">
        <v>36.31668333333333</v>
      </c>
      <c r="I86" s="16"/>
      <c r="J86" s="28">
        <v>80</v>
      </c>
      <c r="K86" s="5" t="s">
        <v>336</v>
      </c>
      <c r="L86" s="5" t="s">
        <v>37</v>
      </c>
      <c r="M86" s="30">
        <v>44.403633333333332</v>
      </c>
    </row>
    <row r="87" spans="1:13" ht="18" customHeight="1">
      <c r="A87" s="28">
        <v>81</v>
      </c>
      <c r="B87" s="5" t="s">
        <v>85</v>
      </c>
      <c r="C87" s="29">
        <v>0.4505513888888889</v>
      </c>
      <c r="D87" s="16"/>
      <c r="E87" s="28">
        <v>81</v>
      </c>
      <c r="F87" s="5" t="s">
        <v>284</v>
      </c>
      <c r="G87" s="5" t="s">
        <v>7</v>
      </c>
      <c r="H87" s="44">
        <v>36.028083333333335</v>
      </c>
      <c r="I87" s="16"/>
      <c r="J87" s="28">
        <v>81</v>
      </c>
      <c r="K87" s="5" t="s">
        <v>281</v>
      </c>
      <c r="L87" s="5" t="s">
        <v>48</v>
      </c>
      <c r="M87" s="30">
        <v>44.04613333333333</v>
      </c>
    </row>
    <row r="88" spans="1:13" ht="18" customHeight="1">
      <c r="A88" s="28">
        <v>82</v>
      </c>
      <c r="B88" s="5" t="s">
        <v>86</v>
      </c>
      <c r="C88" s="29">
        <v>0.44521444444444447</v>
      </c>
      <c r="D88" s="16"/>
      <c r="E88" s="28">
        <v>82</v>
      </c>
      <c r="F88" s="5" t="s">
        <v>286</v>
      </c>
      <c r="G88" s="5" t="s">
        <v>24</v>
      </c>
      <c r="H88" s="44">
        <v>35.577716666666667</v>
      </c>
      <c r="I88" s="16"/>
      <c r="J88" s="28">
        <v>82</v>
      </c>
      <c r="K88" s="5" t="s">
        <v>283</v>
      </c>
      <c r="L88" s="5" t="s">
        <v>35</v>
      </c>
      <c r="M88" s="30">
        <v>43.24346666666667</v>
      </c>
    </row>
    <row r="89" spans="1:13" ht="18" customHeight="1">
      <c r="A89" s="28">
        <v>83</v>
      </c>
      <c r="B89" s="5" t="s">
        <v>87</v>
      </c>
      <c r="C89" s="29">
        <v>0.43473444444444442</v>
      </c>
      <c r="D89" s="16"/>
      <c r="E89" s="28">
        <v>83</v>
      </c>
      <c r="F89" s="5" t="s">
        <v>287</v>
      </c>
      <c r="G89" s="5" t="s">
        <v>5</v>
      </c>
      <c r="H89" s="44">
        <v>35.176349999999999</v>
      </c>
      <c r="I89" s="16"/>
      <c r="J89" s="28">
        <v>83</v>
      </c>
      <c r="K89" s="5" t="s">
        <v>18</v>
      </c>
      <c r="L89" s="5" t="s">
        <v>18</v>
      </c>
      <c r="M89" s="30">
        <v>42.150483333333334</v>
      </c>
    </row>
    <row r="90" spans="1:13" ht="18" customHeight="1">
      <c r="A90" s="28">
        <v>84</v>
      </c>
      <c r="B90" s="5" t="s">
        <v>88</v>
      </c>
      <c r="C90" s="29">
        <v>0.43001555555555554</v>
      </c>
      <c r="D90" s="16"/>
      <c r="E90" s="28">
        <v>84</v>
      </c>
      <c r="F90" s="5" t="s">
        <v>289</v>
      </c>
      <c r="G90" s="5" t="s">
        <v>25</v>
      </c>
      <c r="H90" s="44">
        <v>34.761066666666665</v>
      </c>
      <c r="I90" s="16"/>
      <c r="J90" s="28">
        <v>84</v>
      </c>
      <c r="K90" s="5" t="s">
        <v>337</v>
      </c>
      <c r="L90" s="5" t="s">
        <v>30</v>
      </c>
      <c r="M90" s="30">
        <v>40.898600000000002</v>
      </c>
    </row>
    <row r="91" spans="1:13" ht="18" customHeight="1">
      <c r="A91" s="28">
        <v>85</v>
      </c>
      <c r="B91" s="5" t="s">
        <v>89</v>
      </c>
      <c r="C91" s="29">
        <v>0.42631333333333332</v>
      </c>
      <c r="D91" s="16"/>
      <c r="E91" s="28">
        <v>85</v>
      </c>
      <c r="F91" s="5" t="s">
        <v>291</v>
      </c>
      <c r="G91" s="5" t="s">
        <v>5</v>
      </c>
      <c r="H91" s="44">
        <v>34.72358333333333</v>
      </c>
      <c r="I91" s="16"/>
      <c r="J91" s="28">
        <v>85</v>
      </c>
      <c r="K91" s="5" t="s">
        <v>288</v>
      </c>
      <c r="L91" s="5" t="s">
        <v>44</v>
      </c>
      <c r="M91" s="30">
        <v>40.891950000000001</v>
      </c>
    </row>
    <row r="92" spans="1:13" ht="18" customHeight="1">
      <c r="A92" s="28">
        <v>86</v>
      </c>
      <c r="B92" s="5" t="s">
        <v>90</v>
      </c>
      <c r="C92" s="29">
        <v>0.42317583333333331</v>
      </c>
      <c r="D92" s="16"/>
      <c r="E92" s="28">
        <v>86</v>
      </c>
      <c r="F92" s="5" t="s">
        <v>293</v>
      </c>
      <c r="G92" s="5" t="s">
        <v>8</v>
      </c>
      <c r="H92" s="44">
        <v>34.623416666666664</v>
      </c>
      <c r="I92" s="16"/>
      <c r="J92" s="28">
        <v>86</v>
      </c>
      <c r="K92" s="5" t="s">
        <v>290</v>
      </c>
      <c r="L92" s="5" t="s">
        <v>17</v>
      </c>
      <c r="M92" s="30">
        <v>40.426666666666669</v>
      </c>
    </row>
    <row r="93" spans="1:13" ht="18" customHeight="1">
      <c r="A93" s="28">
        <v>87</v>
      </c>
      <c r="B93" s="5" t="s">
        <v>91</v>
      </c>
      <c r="C93" s="29">
        <v>0.41648305555555554</v>
      </c>
      <c r="D93" s="16"/>
      <c r="E93" s="28">
        <v>87</v>
      </c>
      <c r="F93" s="5" t="s">
        <v>295</v>
      </c>
      <c r="G93" s="5" t="s">
        <v>6</v>
      </c>
      <c r="H93" s="44">
        <v>34.598750000000003</v>
      </c>
      <c r="I93" s="16"/>
      <c r="J93" s="28">
        <v>87</v>
      </c>
      <c r="K93" s="5" t="s">
        <v>292</v>
      </c>
      <c r="L93" s="5" t="s">
        <v>50</v>
      </c>
      <c r="M93" s="30">
        <v>39.444633333333336</v>
      </c>
    </row>
    <row r="94" spans="1:13" ht="18" customHeight="1">
      <c r="A94" s="28">
        <v>88</v>
      </c>
      <c r="B94" s="5" t="s">
        <v>92</v>
      </c>
      <c r="C94" s="29">
        <v>0.41390361111111112</v>
      </c>
      <c r="D94" s="16"/>
      <c r="E94" s="28">
        <v>88</v>
      </c>
      <c r="F94" s="5" t="s">
        <v>296</v>
      </c>
      <c r="G94" s="5" t="s">
        <v>5</v>
      </c>
      <c r="H94" s="44">
        <v>33.880800000000001</v>
      </c>
      <c r="I94" s="16"/>
      <c r="J94" s="28">
        <v>88</v>
      </c>
      <c r="K94" s="5" t="s">
        <v>294</v>
      </c>
      <c r="L94" s="5" t="s">
        <v>60</v>
      </c>
      <c r="M94" s="30">
        <v>38.128</v>
      </c>
    </row>
    <row r="95" spans="1:13" ht="18" customHeight="1">
      <c r="A95" s="28">
        <v>89</v>
      </c>
      <c r="B95" s="5" t="s">
        <v>93</v>
      </c>
      <c r="C95" s="29">
        <v>0.40515000000000001</v>
      </c>
      <c r="D95" s="16"/>
      <c r="E95" s="28">
        <v>89</v>
      </c>
      <c r="F95" s="5" t="s">
        <v>297</v>
      </c>
      <c r="G95" s="5" t="s">
        <v>9</v>
      </c>
      <c r="H95" s="44">
        <v>33.819200000000002</v>
      </c>
      <c r="I95" s="16"/>
      <c r="J95" s="28">
        <v>89</v>
      </c>
      <c r="K95" s="5" t="s">
        <v>229</v>
      </c>
      <c r="L95" s="5" t="s">
        <v>11</v>
      </c>
      <c r="M95" s="30">
        <v>37.340316666666666</v>
      </c>
    </row>
    <row r="96" spans="1:13" ht="18" customHeight="1">
      <c r="A96" s="28">
        <v>90</v>
      </c>
      <c r="B96" s="5" t="s">
        <v>94</v>
      </c>
      <c r="C96" s="29">
        <v>0.40445916666666665</v>
      </c>
      <c r="D96" s="16"/>
      <c r="E96" s="28">
        <v>90</v>
      </c>
      <c r="F96" s="5" t="s">
        <v>282</v>
      </c>
      <c r="G96" s="5" t="s">
        <v>14</v>
      </c>
      <c r="H96" s="44">
        <v>33.569516666666665</v>
      </c>
      <c r="I96" s="16"/>
      <c r="J96" s="28">
        <v>90</v>
      </c>
      <c r="K96" s="5" t="s">
        <v>299</v>
      </c>
      <c r="L96" s="5" t="s">
        <v>19</v>
      </c>
      <c r="M96" s="30">
        <v>37.040599999999998</v>
      </c>
    </row>
    <row r="97" spans="1:13" ht="18" customHeight="1">
      <c r="A97" s="28">
        <v>91</v>
      </c>
      <c r="B97" s="5" t="s">
        <v>95</v>
      </c>
      <c r="C97" s="29">
        <v>0.4039813888888889</v>
      </c>
      <c r="D97" s="16"/>
      <c r="E97" s="28">
        <v>91</v>
      </c>
      <c r="F97" s="5" t="s">
        <v>298</v>
      </c>
      <c r="G97" s="5" t="s">
        <v>15</v>
      </c>
      <c r="H97" s="44">
        <v>33.413649999999997</v>
      </c>
      <c r="I97" s="16"/>
      <c r="J97" s="28">
        <v>91</v>
      </c>
      <c r="K97" s="5" t="s">
        <v>301</v>
      </c>
      <c r="L97" s="5" t="s">
        <v>10</v>
      </c>
      <c r="M97" s="30">
        <v>36.776383333333335</v>
      </c>
    </row>
    <row r="98" spans="1:13" ht="18" customHeight="1">
      <c r="A98" s="28">
        <v>92</v>
      </c>
      <c r="B98" s="5" t="s">
        <v>96</v>
      </c>
      <c r="C98" s="29">
        <v>0.39833166666666664</v>
      </c>
      <c r="D98" s="16"/>
      <c r="E98" s="28">
        <v>92</v>
      </c>
      <c r="F98" s="5" t="s">
        <v>300</v>
      </c>
      <c r="G98" s="5" t="s">
        <v>12</v>
      </c>
      <c r="H98" s="44">
        <v>33.342483333333334</v>
      </c>
      <c r="I98" s="16"/>
      <c r="J98" s="28">
        <v>92</v>
      </c>
      <c r="K98" s="5" t="s">
        <v>303</v>
      </c>
      <c r="L98" s="5" t="s">
        <v>8</v>
      </c>
      <c r="M98" s="30">
        <v>36.688600000000001</v>
      </c>
    </row>
    <row r="99" spans="1:13" ht="18" customHeight="1">
      <c r="A99" s="28">
        <v>93</v>
      </c>
      <c r="B99" s="5" t="s">
        <v>97</v>
      </c>
      <c r="C99" s="29">
        <v>0.39486055555555555</v>
      </c>
      <c r="D99" s="16"/>
      <c r="E99" s="28">
        <v>93</v>
      </c>
      <c r="F99" s="5" t="s">
        <v>302</v>
      </c>
      <c r="G99" s="5" t="s">
        <v>36</v>
      </c>
      <c r="H99" s="44">
        <v>33.120533333333334</v>
      </c>
      <c r="I99" s="16"/>
      <c r="J99" s="28">
        <v>93</v>
      </c>
      <c r="K99" s="5" t="s">
        <v>305</v>
      </c>
      <c r="L99" s="5" t="s">
        <v>9</v>
      </c>
      <c r="M99" s="30">
        <v>36.542666666666669</v>
      </c>
    </row>
    <row r="100" spans="1:13" ht="18" customHeight="1">
      <c r="A100" s="28">
        <v>94</v>
      </c>
      <c r="B100" s="5" t="s">
        <v>98</v>
      </c>
      <c r="C100" s="29">
        <v>0.38406861111111112</v>
      </c>
      <c r="D100" s="16"/>
      <c r="E100" s="28">
        <v>94</v>
      </c>
      <c r="F100" s="5" t="s">
        <v>304</v>
      </c>
      <c r="G100" s="5" t="s">
        <v>7</v>
      </c>
      <c r="H100" s="44">
        <v>32.58271666666667</v>
      </c>
      <c r="I100" s="16"/>
      <c r="J100" s="28">
        <v>94</v>
      </c>
      <c r="K100" s="5" t="s">
        <v>307</v>
      </c>
      <c r="L100" s="5" t="s">
        <v>25</v>
      </c>
      <c r="M100" s="30">
        <v>35.780799999999999</v>
      </c>
    </row>
    <row r="101" spans="1:13" ht="18" customHeight="1">
      <c r="A101" s="28">
        <v>95</v>
      </c>
      <c r="B101" s="5" t="s">
        <v>99</v>
      </c>
      <c r="C101" s="29">
        <v>0.37200222222222223</v>
      </c>
      <c r="D101" s="16"/>
      <c r="E101" s="28">
        <v>95</v>
      </c>
      <c r="F101" s="5" t="s">
        <v>251</v>
      </c>
      <c r="G101" s="5" t="s">
        <v>14</v>
      </c>
      <c r="H101" s="44">
        <v>32.281649999999999</v>
      </c>
      <c r="I101" s="16"/>
      <c r="J101" s="28">
        <v>95</v>
      </c>
      <c r="K101" s="5" t="s">
        <v>309</v>
      </c>
      <c r="L101" s="5" t="s">
        <v>25</v>
      </c>
      <c r="M101" s="30">
        <v>35.665983333333337</v>
      </c>
    </row>
    <row r="102" spans="1:13" ht="18" customHeight="1">
      <c r="A102" s="28">
        <v>96</v>
      </c>
      <c r="B102" s="5" t="s">
        <v>100</v>
      </c>
      <c r="C102" s="29">
        <v>0.34400333333333333</v>
      </c>
      <c r="D102" s="16"/>
      <c r="E102" s="28">
        <v>96</v>
      </c>
      <c r="F102" s="5" t="s">
        <v>306</v>
      </c>
      <c r="G102" s="5" t="s">
        <v>5</v>
      </c>
      <c r="H102" s="44">
        <v>31.991783333333334</v>
      </c>
      <c r="I102" s="16"/>
      <c r="J102" s="28">
        <v>96</v>
      </c>
      <c r="K102" s="5" t="s">
        <v>310</v>
      </c>
      <c r="L102" s="5" t="s">
        <v>21</v>
      </c>
      <c r="M102" s="30">
        <v>34.720950000000002</v>
      </c>
    </row>
    <row r="103" spans="1:13" ht="18" customHeight="1">
      <c r="A103" s="28">
        <v>97</v>
      </c>
      <c r="B103" s="5" t="s">
        <v>101</v>
      </c>
      <c r="C103" s="29">
        <v>0.34103194444444446</v>
      </c>
      <c r="D103" s="16"/>
      <c r="E103" s="28">
        <v>97</v>
      </c>
      <c r="F103" s="5" t="s">
        <v>308</v>
      </c>
      <c r="G103" s="5" t="s">
        <v>6</v>
      </c>
      <c r="H103" s="44">
        <v>31.932583333333334</v>
      </c>
      <c r="I103" s="16"/>
      <c r="J103" s="28">
        <v>97</v>
      </c>
      <c r="K103" s="5" t="s">
        <v>312</v>
      </c>
      <c r="L103" s="5" t="s">
        <v>63</v>
      </c>
      <c r="M103" s="30">
        <v>33.522950000000002</v>
      </c>
    </row>
    <row r="104" spans="1:13" ht="18" customHeight="1">
      <c r="A104" s="28">
        <v>98</v>
      </c>
      <c r="B104" s="5" t="s">
        <v>102</v>
      </c>
      <c r="C104" s="29">
        <v>0.33817833333333336</v>
      </c>
      <c r="D104" s="16"/>
      <c r="E104" s="28">
        <v>98</v>
      </c>
      <c r="F104" s="5" t="s">
        <v>143</v>
      </c>
      <c r="G104" s="5" t="s">
        <v>8</v>
      </c>
      <c r="H104" s="44">
        <v>31.926766666666666</v>
      </c>
      <c r="I104" s="16"/>
      <c r="J104" s="28">
        <v>98</v>
      </c>
      <c r="K104" s="5" t="s">
        <v>314</v>
      </c>
      <c r="L104" s="5" t="s">
        <v>54</v>
      </c>
      <c r="M104" s="30">
        <v>33.484116666666665</v>
      </c>
    </row>
    <row r="105" spans="1:13" ht="18" customHeight="1">
      <c r="A105" s="28">
        <v>99</v>
      </c>
      <c r="B105" s="5" t="s">
        <v>103</v>
      </c>
      <c r="C105" s="29">
        <v>0.33732194444444447</v>
      </c>
      <c r="D105" s="16"/>
      <c r="E105" s="28">
        <v>99</v>
      </c>
      <c r="F105" s="5" t="s">
        <v>311</v>
      </c>
      <c r="G105" s="5" t="s">
        <v>32</v>
      </c>
      <c r="H105" s="44">
        <v>31.685449999999999</v>
      </c>
      <c r="I105" s="16"/>
      <c r="J105" s="28">
        <v>99</v>
      </c>
      <c r="K105" s="5" t="s">
        <v>338</v>
      </c>
      <c r="L105" s="5" t="s">
        <v>74</v>
      </c>
      <c r="M105" s="30">
        <v>32.133566666666667</v>
      </c>
    </row>
    <row r="106" spans="1:13" ht="18" customHeight="1">
      <c r="A106" s="31">
        <v>100</v>
      </c>
      <c r="B106" s="32" t="s">
        <v>104</v>
      </c>
      <c r="C106" s="33">
        <v>0.32912694444444446</v>
      </c>
      <c r="D106" s="16"/>
      <c r="E106" s="31">
        <v>100</v>
      </c>
      <c r="F106" s="32" t="s">
        <v>313</v>
      </c>
      <c r="G106" s="32" t="s">
        <v>8</v>
      </c>
      <c r="H106" s="45">
        <v>31.426950000000001</v>
      </c>
      <c r="I106" s="16"/>
      <c r="J106" s="31">
        <v>100</v>
      </c>
      <c r="K106" s="32" t="s">
        <v>339</v>
      </c>
      <c r="L106" s="32" t="s">
        <v>65</v>
      </c>
      <c r="M106" s="34">
        <v>31.903949999999998</v>
      </c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EAEA-AEDC-A846-8129-8CB6D39DD49E}">
  <sheetPr>
    <tabColor rgb="FF7030A0"/>
  </sheetPr>
  <dimension ref="A1:N28"/>
  <sheetViews>
    <sheetView workbookViewId="0">
      <selection activeCell="P34" sqref="P34"/>
    </sheetView>
  </sheetViews>
  <sheetFormatPr baseColWidth="10" defaultRowHeight="16" outlineLevelCol="1"/>
  <cols>
    <col min="1" max="1" width="20.33203125" bestFit="1" customWidth="1"/>
    <col min="11" max="11" width="12.33203125" bestFit="1" customWidth="1"/>
    <col min="12" max="13" width="10.83203125" hidden="1" customWidth="1" outlineLevel="1"/>
    <col min="14" max="14" width="10.83203125" collapsed="1"/>
  </cols>
  <sheetData>
    <row r="1" spans="1:14" ht="19">
      <c r="A1" s="53" t="s">
        <v>420</v>
      </c>
    </row>
    <row r="2" spans="1:14" ht="18">
      <c r="A2" s="54"/>
    </row>
    <row r="3" spans="1:14">
      <c r="B3" s="55" t="s">
        <v>421</v>
      </c>
      <c r="C3" s="55" t="s">
        <v>422</v>
      </c>
      <c r="D3" s="55" t="s">
        <v>423</v>
      </c>
      <c r="E3" s="55" t="s">
        <v>424</v>
      </c>
      <c r="F3" s="55" t="s">
        <v>425</v>
      </c>
      <c r="G3" s="55" t="s">
        <v>426</v>
      </c>
      <c r="H3" s="55" t="s">
        <v>427</v>
      </c>
      <c r="I3" s="55" t="s">
        <v>428</v>
      </c>
      <c r="J3" s="55" t="s">
        <v>429</v>
      </c>
      <c r="K3" s="55" t="s">
        <v>430</v>
      </c>
      <c r="L3" s="55" t="s">
        <v>431</v>
      </c>
      <c r="M3" s="55" t="s">
        <v>432</v>
      </c>
      <c r="N3" s="55" t="s">
        <v>433</v>
      </c>
    </row>
    <row r="4" spans="1:14">
      <c r="A4" s="56" t="s">
        <v>5</v>
      </c>
      <c r="B4" s="57">
        <v>130.97198333333333</v>
      </c>
      <c r="C4" s="58">
        <v>1346.1851999999999</v>
      </c>
      <c r="D4" s="58">
        <v>313.61869999999999</v>
      </c>
      <c r="E4" s="58">
        <v>96.719149999999999</v>
      </c>
      <c r="F4" s="58">
        <v>79.266616666666664</v>
      </c>
      <c r="G4" s="58">
        <v>141.3272</v>
      </c>
      <c r="H4" s="58">
        <v>11.726566666666667</v>
      </c>
      <c r="I4" s="58">
        <v>11.110749999999999</v>
      </c>
      <c r="J4" s="58">
        <v>0</v>
      </c>
      <c r="K4" s="59">
        <f>SUMIF([1]!oct_raw_plays_2025[artistName],'Top Artists Over Time'!$A4,[1]!oct_raw_plays_2025[minutes_played])</f>
        <v>0</v>
      </c>
      <c r="L4" s="52"/>
      <c r="M4" s="52"/>
      <c r="N4" s="52">
        <f>SUM(B4:M4)</f>
        <v>2130.9261666666666</v>
      </c>
    </row>
    <row r="5" spans="1:14">
      <c r="A5" s="56" t="s">
        <v>6</v>
      </c>
      <c r="B5" s="60">
        <v>264.58941666666669</v>
      </c>
      <c r="C5" s="52">
        <v>82.985883333333334</v>
      </c>
      <c r="D5" s="52">
        <v>73.428849999999997</v>
      </c>
      <c r="E5" s="52">
        <v>94.33056666666667</v>
      </c>
      <c r="F5" s="52">
        <v>448.90249999999997</v>
      </c>
      <c r="G5" s="52">
        <v>251.72315</v>
      </c>
      <c r="H5" s="52">
        <v>88.191900000000004</v>
      </c>
      <c r="I5" s="52">
        <v>7.3228166666666663</v>
      </c>
      <c r="J5" s="52">
        <v>295.61993333333334</v>
      </c>
      <c r="K5" s="61">
        <f>SUMIF([1]!oct_raw_plays_2025[artistName],'Top Artists Over Time'!$A5,[1]!oct_raw_plays_2025[minutes_played])</f>
        <v>18.266033333333333</v>
      </c>
      <c r="L5" s="52"/>
      <c r="M5" s="52"/>
      <c r="N5" s="52">
        <f t="shared" ref="N5:N28" si="0">SUM(B5:M5)</f>
        <v>1625.3610500000002</v>
      </c>
    </row>
    <row r="6" spans="1:14">
      <c r="A6" s="56" t="s">
        <v>7</v>
      </c>
      <c r="B6" s="60">
        <v>0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221.81710000000001</v>
      </c>
      <c r="I6" s="52">
        <v>737.94141666666667</v>
      </c>
      <c r="J6" s="52">
        <v>220.96671666666666</v>
      </c>
      <c r="K6" s="61">
        <f>SUMIF([1]!oct_raw_plays_2025[artistName],'Top Artists Over Time'!$A6,[1]!oct_raw_plays_2025[minutes_played])</f>
        <v>60.29858333333334</v>
      </c>
      <c r="L6" s="52"/>
      <c r="M6" s="52"/>
      <c r="N6" s="52">
        <f t="shared" si="0"/>
        <v>1241.0238166666668</v>
      </c>
    </row>
    <row r="7" spans="1:14">
      <c r="A7" s="56" t="s">
        <v>8</v>
      </c>
      <c r="B7" s="60">
        <v>233.69826666666665</v>
      </c>
      <c r="C7" s="52">
        <v>105.74556666666666</v>
      </c>
      <c r="D7" s="52">
        <v>111.83578333333334</v>
      </c>
      <c r="E7" s="52">
        <v>2.8266833333333334</v>
      </c>
      <c r="F7" s="52">
        <v>54.751866666666665</v>
      </c>
      <c r="G7" s="52">
        <v>22.585416666666667</v>
      </c>
      <c r="H7" s="52">
        <v>214.98765</v>
      </c>
      <c r="I7" s="52">
        <v>34.707616666666667</v>
      </c>
      <c r="J7" s="52">
        <v>3.7098499999999999</v>
      </c>
      <c r="K7" s="61">
        <f>SUMIF([1]!oct_raw_plays_2025[artistName],'Top Artists Over Time'!$A7,[1]!oct_raw_plays_2025[minutes_played])</f>
        <v>0</v>
      </c>
      <c r="L7" s="52"/>
      <c r="M7" s="52"/>
      <c r="N7" s="52">
        <f t="shared" si="0"/>
        <v>784.84870000000001</v>
      </c>
    </row>
    <row r="8" spans="1:14">
      <c r="A8" s="56" t="s">
        <v>9</v>
      </c>
      <c r="B8" s="60">
        <v>6.6478000000000002</v>
      </c>
      <c r="C8" s="52">
        <v>493.71803333333332</v>
      </c>
      <c r="D8" s="52">
        <v>16.641783333333333</v>
      </c>
      <c r="E8" s="52">
        <v>0</v>
      </c>
      <c r="F8" s="52">
        <v>0</v>
      </c>
      <c r="G8" s="52">
        <v>99.057183333333327</v>
      </c>
      <c r="H8" s="52">
        <v>0</v>
      </c>
      <c r="I8" s="52">
        <v>33.958166666666664</v>
      </c>
      <c r="J8" s="52">
        <v>15.18975</v>
      </c>
      <c r="K8" s="61">
        <f>SUMIF([1]!oct_raw_plays_2025[artistName],'Top Artists Over Time'!$A8,[1]!oct_raw_plays_2025[minutes_played])</f>
        <v>0</v>
      </c>
      <c r="L8" s="52"/>
      <c r="M8" s="52"/>
      <c r="N8" s="52">
        <f t="shared" si="0"/>
        <v>665.21271666666667</v>
      </c>
    </row>
    <row r="9" spans="1:14">
      <c r="A9" s="56" t="s">
        <v>10</v>
      </c>
      <c r="B9" s="60">
        <v>15.014533333333333</v>
      </c>
      <c r="C9" s="52">
        <v>24.011916666666668</v>
      </c>
      <c r="D9" s="52">
        <v>8.7964500000000001</v>
      </c>
      <c r="E9" s="52">
        <v>0</v>
      </c>
      <c r="F9" s="52">
        <v>89.40958333333333</v>
      </c>
      <c r="G9" s="52">
        <v>0</v>
      </c>
      <c r="H9" s="52">
        <v>2.9957500000000001</v>
      </c>
      <c r="I9" s="52">
        <v>285.41551666666669</v>
      </c>
      <c r="J9" s="52">
        <v>137.56541666666666</v>
      </c>
      <c r="K9" s="61">
        <f>SUMIF([1]!oct_raw_plays_2025[artistName],'Top Artists Over Time'!$A9,[1]!oct_raw_plays_2025[minutes_played])</f>
        <v>133.32683333333335</v>
      </c>
      <c r="L9" s="52"/>
      <c r="M9" s="52"/>
      <c r="N9" s="52">
        <f t="shared" si="0"/>
        <v>696.53600000000006</v>
      </c>
    </row>
    <row r="10" spans="1:14">
      <c r="A10" s="56" t="s">
        <v>11</v>
      </c>
      <c r="B10" s="60">
        <v>0</v>
      </c>
      <c r="C10" s="52">
        <v>0</v>
      </c>
      <c r="D10" s="52">
        <v>247.39044999999999</v>
      </c>
      <c r="E10" s="52">
        <v>293.97761666666668</v>
      </c>
      <c r="F10" s="52">
        <v>21.067933333333333</v>
      </c>
      <c r="G10" s="52">
        <v>0.11700000000000001</v>
      </c>
      <c r="H10" s="52">
        <v>0</v>
      </c>
      <c r="I10" s="52">
        <v>4.387833333333333</v>
      </c>
      <c r="J10" s="52">
        <v>0</v>
      </c>
      <c r="K10" s="61">
        <f>SUMIF([1]!oct_raw_plays_2025[artistName],'Top Artists Over Time'!$A10,[1]!oct_raw_plays_2025[minutes_played])</f>
        <v>71.166249999999991</v>
      </c>
      <c r="L10" s="52"/>
      <c r="M10" s="52"/>
      <c r="N10" s="52">
        <f t="shared" si="0"/>
        <v>638.10708333333332</v>
      </c>
    </row>
    <row r="11" spans="1:14">
      <c r="A11" s="56" t="s">
        <v>12</v>
      </c>
      <c r="B11" s="60">
        <v>0</v>
      </c>
      <c r="C11" s="52">
        <v>16.843316666666666</v>
      </c>
      <c r="D11" s="52">
        <v>11.0451</v>
      </c>
      <c r="E11" s="52">
        <v>162.43145000000001</v>
      </c>
      <c r="F11" s="52">
        <v>343.12400000000002</v>
      </c>
      <c r="G11" s="52">
        <v>66.809200000000004</v>
      </c>
      <c r="H11" s="52">
        <v>9.9066666666666664E-2</v>
      </c>
      <c r="I11" s="52">
        <v>11.833616666666666</v>
      </c>
      <c r="J11" s="52">
        <v>0</v>
      </c>
      <c r="K11" s="61">
        <f>SUMIF([1]!oct_raw_plays_2025[artistName],'Top Artists Over Time'!$A11,[1]!oct_raw_plays_2025[minutes_played])</f>
        <v>1.0047999999999999</v>
      </c>
      <c r="L11" s="52"/>
      <c r="M11" s="52"/>
      <c r="N11" s="52">
        <f t="shared" si="0"/>
        <v>613.19055000000014</v>
      </c>
    </row>
    <row r="12" spans="1:14">
      <c r="A12" s="56" t="s">
        <v>13</v>
      </c>
      <c r="B12" s="60">
        <v>0</v>
      </c>
      <c r="C12" s="52">
        <v>72.086883333333333</v>
      </c>
      <c r="D12" s="52">
        <v>363.75953333333331</v>
      </c>
      <c r="E12" s="52">
        <v>7.9961166666666665</v>
      </c>
      <c r="F12" s="52">
        <v>14.757116666666667</v>
      </c>
      <c r="G12" s="52">
        <v>6.6198499999999996</v>
      </c>
      <c r="H12" s="52">
        <v>0</v>
      </c>
      <c r="I12" s="52">
        <v>6.29955</v>
      </c>
      <c r="J12" s="52">
        <v>0</v>
      </c>
      <c r="K12" s="61">
        <f>SUMIF([1]!oct_raw_plays_2025[artistName],'Top Artists Over Time'!$A12,[1]!oct_raw_plays_2025[minutes_played])</f>
        <v>0</v>
      </c>
      <c r="L12" s="52"/>
      <c r="M12" s="52"/>
      <c r="N12" s="52">
        <f t="shared" si="0"/>
        <v>471.51904999999999</v>
      </c>
    </row>
    <row r="13" spans="1:14">
      <c r="A13" s="56" t="s">
        <v>14</v>
      </c>
      <c r="B13" s="60">
        <v>0</v>
      </c>
      <c r="C13" s="52">
        <v>0</v>
      </c>
      <c r="D13" s="52">
        <v>0</v>
      </c>
      <c r="E13" s="52">
        <v>0</v>
      </c>
      <c r="F13" s="52">
        <v>30.394983333333332</v>
      </c>
      <c r="G13" s="52">
        <v>12.627866666666666</v>
      </c>
      <c r="H13" s="52">
        <v>236.99503333333334</v>
      </c>
      <c r="I13" s="52">
        <v>121.94816666666667</v>
      </c>
      <c r="J13" s="52">
        <v>53.890366666666665</v>
      </c>
      <c r="K13" s="61">
        <f>SUMIF([1]!oct_raw_plays_2025[artistName],'Top Artists Over Time'!$A13,[1]!oct_raw_plays_2025[minutes_played])</f>
        <v>7.4298500000000001</v>
      </c>
      <c r="L13" s="52"/>
      <c r="M13" s="52"/>
      <c r="N13" s="52">
        <f t="shared" si="0"/>
        <v>463.28626666666662</v>
      </c>
    </row>
    <row r="14" spans="1:14">
      <c r="A14" s="56" t="s">
        <v>15</v>
      </c>
      <c r="B14" s="60">
        <v>241.06870000000001</v>
      </c>
      <c r="C14" s="52">
        <v>23.986999999999998</v>
      </c>
      <c r="D14" s="52">
        <v>0</v>
      </c>
      <c r="E14" s="52">
        <v>0</v>
      </c>
      <c r="F14" s="52">
        <v>0</v>
      </c>
      <c r="G14" s="52">
        <v>1.1950166666666666</v>
      </c>
      <c r="H14" s="52">
        <v>0</v>
      </c>
      <c r="I14" s="52">
        <v>4.0392833333333336</v>
      </c>
      <c r="J14" s="52">
        <v>0</v>
      </c>
      <c r="K14" s="61">
        <f>SUMIF([1]!oct_raw_plays_2025[artistName],'Top Artists Over Time'!$A14,[1]!oct_raw_plays_2025[minutes_played])</f>
        <v>345.68763333333328</v>
      </c>
      <c r="L14" s="52"/>
      <c r="M14" s="52"/>
      <c r="N14" s="52">
        <f t="shared" si="0"/>
        <v>615.9776333333333</v>
      </c>
    </row>
    <row r="15" spans="1:14">
      <c r="A15" s="56" t="s">
        <v>16</v>
      </c>
      <c r="B15" s="60">
        <v>19.690799999999999</v>
      </c>
      <c r="C15" s="52">
        <v>47.615716666666664</v>
      </c>
      <c r="D15" s="52">
        <v>34.715516666666666</v>
      </c>
      <c r="E15" s="52">
        <v>3.6617833333333332</v>
      </c>
      <c r="F15" s="52">
        <v>264.59176666666667</v>
      </c>
      <c r="G15" s="52">
        <v>3.7360833333333332</v>
      </c>
      <c r="H15" s="52">
        <v>0</v>
      </c>
      <c r="I15" s="52">
        <v>0</v>
      </c>
      <c r="J15" s="52">
        <v>0</v>
      </c>
      <c r="K15" s="61">
        <f>SUMIF([1]!oct_raw_plays_2025[artistName],'Top Artists Over Time'!$A15,[1]!oct_raw_plays_2025[minutes_played])</f>
        <v>0</v>
      </c>
      <c r="L15" s="52"/>
      <c r="M15" s="52"/>
      <c r="N15" s="52">
        <f t="shared" si="0"/>
        <v>374.01166666666666</v>
      </c>
    </row>
    <row r="16" spans="1:14">
      <c r="A16" s="56" t="s">
        <v>17</v>
      </c>
      <c r="B16" s="60">
        <v>22.285299999999999</v>
      </c>
      <c r="C16" s="52">
        <v>18.095533333333332</v>
      </c>
      <c r="D16" s="52">
        <v>13.554116666666667</v>
      </c>
      <c r="E16" s="52">
        <v>4.4499999999999998E-2</v>
      </c>
      <c r="F16" s="52">
        <v>6.8045166666666663</v>
      </c>
      <c r="G16" s="52">
        <v>216.48321666666666</v>
      </c>
      <c r="H16" s="52">
        <v>3.7877833333333335</v>
      </c>
      <c r="I16" s="52">
        <v>42.23361666666667</v>
      </c>
      <c r="J16" s="52">
        <v>34.181416666666664</v>
      </c>
      <c r="K16" s="61">
        <f>SUMIF([1]!oct_raw_plays_2025[artistName],'Top Artists Over Time'!$A16,[1]!oct_raw_plays_2025[minutes_played])</f>
        <v>0</v>
      </c>
      <c r="L16" s="52"/>
      <c r="M16" s="52"/>
      <c r="N16" s="52">
        <f t="shared" si="0"/>
        <v>357.46999999999997</v>
      </c>
    </row>
    <row r="17" spans="1:14">
      <c r="A17" s="56" t="s">
        <v>18</v>
      </c>
      <c r="B17" s="60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280.16663333333332</v>
      </c>
      <c r="I17" s="52">
        <v>1.0234666666666667</v>
      </c>
      <c r="J17" s="52">
        <v>31.103349999999999</v>
      </c>
      <c r="K17" s="61">
        <f>SUMIF([1]!oct_raw_plays_2025[artistName],'Top Artists Over Time'!$A17,[1]!oct_raw_plays_2025[minutes_played])</f>
        <v>35.324349999999995</v>
      </c>
      <c r="L17" s="52"/>
      <c r="M17" s="52"/>
      <c r="N17" s="52">
        <f t="shared" si="0"/>
        <v>347.61779999999993</v>
      </c>
    </row>
    <row r="18" spans="1:14">
      <c r="A18" s="56" t="s">
        <v>19</v>
      </c>
      <c r="B18" s="60">
        <v>2.2877166666666668</v>
      </c>
      <c r="C18" s="52">
        <v>0.46174999999999999</v>
      </c>
      <c r="D18" s="52">
        <v>15.6366</v>
      </c>
      <c r="E18" s="52">
        <v>3.9157666666666668</v>
      </c>
      <c r="F18" s="52">
        <v>202.22796666666667</v>
      </c>
      <c r="G18" s="52">
        <v>18.577433333333332</v>
      </c>
      <c r="H18" s="52">
        <v>35.718649999999997</v>
      </c>
      <c r="I18" s="52">
        <v>8.7881333333333327</v>
      </c>
      <c r="J18" s="52">
        <v>3.9079166666666665</v>
      </c>
      <c r="K18" s="61">
        <f>SUMIF([1]!oct_raw_plays_2025[artistName],'Top Artists Over Time'!$A18,[1]!oct_raw_plays_2025[minutes_played])</f>
        <v>0</v>
      </c>
      <c r="L18" s="52"/>
      <c r="M18" s="52"/>
      <c r="N18" s="52">
        <f t="shared" si="0"/>
        <v>291.52193333333332</v>
      </c>
    </row>
    <row r="19" spans="1:14">
      <c r="A19" s="56" t="s">
        <v>20</v>
      </c>
      <c r="B19" s="60">
        <v>48.295400000000001</v>
      </c>
      <c r="C19" s="52">
        <v>206.07503333333332</v>
      </c>
      <c r="D19" s="52">
        <v>31.855116666666667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5.1924333333333337</v>
      </c>
      <c r="K19" s="61">
        <f>SUMIF([1]!oct_raw_plays_2025[artistName],'Top Artists Over Time'!$A19,[1]!oct_raw_plays_2025[minutes_played])</f>
        <v>0</v>
      </c>
      <c r="L19" s="52"/>
      <c r="M19" s="52"/>
      <c r="N19" s="52">
        <f t="shared" si="0"/>
        <v>291.41798333333332</v>
      </c>
    </row>
    <row r="20" spans="1:14">
      <c r="A20" s="56" t="s">
        <v>21</v>
      </c>
      <c r="B20" s="60">
        <v>135.68235000000001</v>
      </c>
      <c r="C20" s="52">
        <v>25.178550000000001</v>
      </c>
      <c r="D20" s="52">
        <v>105.71174999999999</v>
      </c>
      <c r="E20" s="52">
        <v>0</v>
      </c>
      <c r="F20" s="52">
        <v>13.267166666666666</v>
      </c>
      <c r="G20" s="52">
        <v>4.8648833333333332</v>
      </c>
      <c r="H20" s="52">
        <v>0</v>
      </c>
      <c r="I20" s="52">
        <v>0</v>
      </c>
      <c r="J20" s="52">
        <v>0</v>
      </c>
      <c r="K20" s="61">
        <f>SUMIF([1]!oct_raw_plays_2025[artistName],'Top Artists Over Time'!$A20,[1]!oct_raw_plays_2025[minutes_played])</f>
        <v>0</v>
      </c>
      <c r="L20" s="52"/>
      <c r="M20" s="52"/>
      <c r="N20" s="52">
        <f t="shared" si="0"/>
        <v>284.7047</v>
      </c>
    </row>
    <row r="21" spans="1:14">
      <c r="A21" s="56" t="s">
        <v>22</v>
      </c>
      <c r="B21" s="60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164.53229999999999</v>
      </c>
      <c r="J21" s="52">
        <v>17.019816666666667</v>
      </c>
      <c r="K21" s="61">
        <f>SUMIF([1]!oct_raw_plays_2025[artistName],'Top Artists Over Time'!$A21,[1]!oct_raw_plays_2025[minutes_played])</f>
        <v>97.749433333333343</v>
      </c>
      <c r="L21" s="52"/>
      <c r="M21" s="52"/>
      <c r="N21" s="52">
        <f t="shared" si="0"/>
        <v>279.30155000000002</v>
      </c>
    </row>
    <row r="22" spans="1:14">
      <c r="A22" s="56" t="s">
        <v>23</v>
      </c>
      <c r="B22" s="60">
        <v>40.607216666666666</v>
      </c>
      <c r="C22" s="52">
        <v>14.944566666666667</v>
      </c>
      <c r="D22" s="52">
        <v>16.298566666666666</v>
      </c>
      <c r="E22" s="52">
        <v>4.5693333333333337</v>
      </c>
      <c r="F22" s="52">
        <v>6.4680833333333334</v>
      </c>
      <c r="G22" s="52">
        <v>158.51733333333334</v>
      </c>
      <c r="H22" s="52">
        <v>3.9632499999999999</v>
      </c>
      <c r="I22" s="52">
        <v>9.2818333333333332</v>
      </c>
      <c r="J22" s="52">
        <v>0</v>
      </c>
      <c r="K22" s="61">
        <f>SUMIF([1]!oct_raw_plays_2025[artistName],'Top Artists Over Time'!$A22,[1]!oct_raw_plays_2025[minutes_played])</f>
        <v>0</v>
      </c>
      <c r="L22" s="52"/>
      <c r="M22" s="52"/>
      <c r="N22" s="52">
        <f t="shared" si="0"/>
        <v>254.65018333333333</v>
      </c>
    </row>
    <row r="23" spans="1:14">
      <c r="A23" s="56" t="s">
        <v>24</v>
      </c>
      <c r="B23" s="60">
        <v>0.11803333333333334</v>
      </c>
      <c r="C23" s="52">
        <v>1.3833333333333333E-2</v>
      </c>
      <c r="D23" s="52">
        <v>62.198349999999998</v>
      </c>
      <c r="E23" s="52">
        <v>19.999949999999998</v>
      </c>
      <c r="F23" s="52">
        <v>28.408000000000001</v>
      </c>
      <c r="G23" s="52">
        <v>25.699200000000001</v>
      </c>
      <c r="H23" s="52">
        <v>45.594850000000001</v>
      </c>
      <c r="I23" s="52">
        <v>6.1786666666666665</v>
      </c>
      <c r="J23" s="52">
        <v>0</v>
      </c>
      <c r="K23" s="61">
        <f>SUMIF([1]!oct_raw_plays_2025[artistName],'Top Artists Over Time'!$A23,[1]!oct_raw_plays_2025[minutes_played])</f>
        <v>0</v>
      </c>
      <c r="L23" s="52"/>
      <c r="M23" s="52"/>
      <c r="N23" s="52">
        <f t="shared" si="0"/>
        <v>188.21088333333333</v>
      </c>
    </row>
    <row r="24" spans="1:14">
      <c r="A24" s="56" t="s">
        <v>25</v>
      </c>
      <c r="B24" s="60">
        <v>3.6671</v>
      </c>
      <c r="C24" s="52">
        <v>34.647716666666668</v>
      </c>
      <c r="D24" s="52">
        <v>15.370749999999999</v>
      </c>
      <c r="E24" s="52">
        <v>8.3883833333333335</v>
      </c>
      <c r="F24" s="52">
        <v>66.635633333333331</v>
      </c>
      <c r="G24" s="52">
        <v>52.493316666666665</v>
      </c>
      <c r="H24" s="52">
        <v>0</v>
      </c>
      <c r="I24" s="52">
        <v>3.1925666666666666</v>
      </c>
      <c r="J24" s="52">
        <v>0</v>
      </c>
      <c r="K24" s="61">
        <f>SUMIF([1]!oct_raw_plays_2025[artistName],'Top Artists Over Time'!$A24,[1]!oct_raw_plays_2025[minutes_played])</f>
        <v>0</v>
      </c>
      <c r="L24" s="52"/>
      <c r="M24" s="52"/>
      <c r="N24" s="52">
        <f t="shared" si="0"/>
        <v>184.39546666666666</v>
      </c>
    </row>
    <row r="25" spans="1:14">
      <c r="A25" s="56" t="s">
        <v>31</v>
      </c>
      <c r="B25" s="60">
        <v>0</v>
      </c>
      <c r="C25" s="52">
        <v>0</v>
      </c>
      <c r="D25" s="52">
        <v>0</v>
      </c>
      <c r="E25" s="52">
        <v>0</v>
      </c>
      <c r="F25" s="52">
        <v>0</v>
      </c>
      <c r="G25" s="52">
        <v>0</v>
      </c>
      <c r="H25" s="52">
        <v>0</v>
      </c>
      <c r="I25" s="52">
        <v>1.2501333333333333</v>
      </c>
      <c r="J25" s="52">
        <v>0</v>
      </c>
      <c r="K25" s="61">
        <f>SUMIF([1]!oct_raw_plays_2025[artistName],'Top Artists Over Time'!$A25,[1]!oct_raw_plays_2025[minutes_played])</f>
        <v>225.07259999999997</v>
      </c>
      <c r="L25" s="52"/>
      <c r="M25" s="52"/>
      <c r="N25" s="52">
        <f t="shared" si="0"/>
        <v>226.3227333333333</v>
      </c>
    </row>
    <row r="26" spans="1:14">
      <c r="A26" s="56" t="s">
        <v>40</v>
      </c>
      <c r="B26" s="60">
        <v>0</v>
      </c>
      <c r="C26" s="52">
        <v>0</v>
      </c>
      <c r="D26" s="52">
        <v>17.275683333333333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3.8096999999999999</v>
      </c>
      <c r="K26" s="61">
        <f>SUMIF([1]!oct_raw_plays_2025[artistName],'Top Artists Over Time'!$A26,[1]!oct_raw_plays_2025[minutes_played])</f>
        <v>83.117050000000006</v>
      </c>
      <c r="L26" s="52"/>
      <c r="M26" s="52"/>
      <c r="N26" s="52">
        <f t="shared" si="0"/>
        <v>104.20243333333335</v>
      </c>
    </row>
    <row r="27" spans="1:14">
      <c r="A27" s="56" t="s">
        <v>46</v>
      </c>
      <c r="B27" s="60">
        <v>0</v>
      </c>
      <c r="C27" s="52">
        <v>0</v>
      </c>
      <c r="D27" s="52">
        <v>0</v>
      </c>
      <c r="E27" s="52">
        <v>62.571649999999998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61">
        <f>SUMIF([1]!oct_raw_plays_2025[artistName],'Top Artists Over Time'!$A27,[1]!oct_raw_plays_2025[minutes_played])</f>
        <v>8.7551666666666659</v>
      </c>
      <c r="L27" s="52"/>
      <c r="M27" s="52"/>
      <c r="N27" s="52">
        <f t="shared" si="0"/>
        <v>71.326816666666659</v>
      </c>
    </row>
    <row r="28" spans="1:14">
      <c r="A28" s="56" t="s">
        <v>129</v>
      </c>
      <c r="B28" s="62">
        <v>3.8990333333333331</v>
      </c>
      <c r="C28" s="63">
        <v>5.1977666666666664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4">
        <f>SUMIF([1]!oct_raw_plays_2025[artistName],'Top Artists Over Time'!$A28,[1]!oct_raw_plays_2025[minutes_played])</f>
        <v>0</v>
      </c>
      <c r="L28" s="52"/>
      <c r="M28" s="52"/>
      <c r="N28" s="52">
        <f t="shared" si="0"/>
        <v>9.0968</v>
      </c>
    </row>
  </sheetData>
  <conditionalFormatting sqref="B4:K4">
    <cfRule type="colorScale" priority="2">
      <colorScale>
        <cfvo type="min"/>
        <cfvo type="percentile" val="50"/>
        <cfvo type="percentile" val="95"/>
        <color theme="0"/>
        <color rgb="FFE9F7EF"/>
        <color rgb="FF7CF3A1"/>
      </colorScale>
    </cfRule>
  </conditionalFormatting>
  <conditionalFormatting sqref="B5:K28">
    <cfRule type="colorScale" priority="1">
      <colorScale>
        <cfvo type="min"/>
        <cfvo type="percentile" val="50"/>
        <cfvo type="percentile" val="95"/>
        <color theme="0"/>
        <color rgb="FFE9F7EF"/>
        <color rgb="FF7CF3A1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C91C960-3E88-8147-A3C3-EA52584205B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'Top Artists Over Time'!B4:K4</xm:f>
              <xm:sqref>O4</xm:sqref>
            </x14:sparkline>
            <x14:sparkline>
              <xm:f>'Top Artists Over Time'!B5:K5</xm:f>
              <xm:sqref>O5</xm:sqref>
            </x14:sparkline>
            <x14:sparkline>
              <xm:f>'Top Artists Over Time'!B6:K6</xm:f>
              <xm:sqref>O6</xm:sqref>
            </x14:sparkline>
            <x14:sparkline>
              <xm:f>'Top Artists Over Time'!B7:K7</xm:f>
              <xm:sqref>O7</xm:sqref>
            </x14:sparkline>
            <x14:sparkline>
              <xm:f>'Top Artists Over Time'!B8:K8</xm:f>
              <xm:sqref>O8</xm:sqref>
            </x14:sparkline>
            <x14:sparkline>
              <xm:f>'Top Artists Over Time'!B9:K9</xm:f>
              <xm:sqref>O9</xm:sqref>
            </x14:sparkline>
            <x14:sparkline>
              <xm:f>'Top Artists Over Time'!B10:K10</xm:f>
              <xm:sqref>O10</xm:sqref>
            </x14:sparkline>
            <x14:sparkline>
              <xm:f>'Top Artists Over Time'!B11:K11</xm:f>
              <xm:sqref>O11</xm:sqref>
            </x14:sparkline>
            <x14:sparkline>
              <xm:f>'Top Artists Over Time'!B12:K12</xm:f>
              <xm:sqref>O12</xm:sqref>
            </x14:sparkline>
            <x14:sparkline>
              <xm:f>'Top Artists Over Time'!B13:K13</xm:f>
              <xm:sqref>O13</xm:sqref>
            </x14:sparkline>
            <x14:sparkline>
              <xm:f>'Top Artists Over Time'!B14:K14</xm:f>
              <xm:sqref>O14</xm:sqref>
            </x14:sparkline>
            <x14:sparkline>
              <xm:f>'Top Artists Over Time'!B15:K15</xm:f>
              <xm:sqref>O15</xm:sqref>
            </x14:sparkline>
            <x14:sparkline>
              <xm:f>'Top Artists Over Time'!B16:K16</xm:f>
              <xm:sqref>O16</xm:sqref>
            </x14:sparkline>
            <x14:sparkline>
              <xm:f>'Top Artists Over Time'!B17:K17</xm:f>
              <xm:sqref>O17</xm:sqref>
            </x14:sparkline>
            <x14:sparkline>
              <xm:f>'Top Artists Over Time'!B18:K18</xm:f>
              <xm:sqref>O18</xm:sqref>
            </x14:sparkline>
            <x14:sparkline>
              <xm:f>'Top Artists Over Time'!B19:K19</xm:f>
              <xm:sqref>O19</xm:sqref>
            </x14:sparkline>
            <x14:sparkline>
              <xm:f>'Top Artists Over Time'!B20:K20</xm:f>
              <xm:sqref>O20</xm:sqref>
            </x14:sparkline>
            <x14:sparkline>
              <xm:f>'Top Artists Over Time'!B21:K21</xm:f>
              <xm:sqref>O21</xm:sqref>
            </x14:sparkline>
            <x14:sparkline>
              <xm:f>'Top Artists Over Time'!B22:K22</xm:f>
              <xm:sqref>O22</xm:sqref>
            </x14:sparkline>
            <x14:sparkline>
              <xm:f>'Top Artists Over Time'!B23:K23</xm:f>
              <xm:sqref>O23</xm:sqref>
            </x14:sparkline>
            <x14:sparkline>
              <xm:f>'Top Artists Over Time'!B24:K24</xm:f>
              <xm:sqref>O24</xm:sqref>
            </x14:sparkline>
            <x14:sparkline>
              <xm:f>'Top Artists Over Time'!B25:K25</xm:f>
              <xm:sqref>O25</xm:sqref>
            </x14:sparkline>
            <x14:sparkline>
              <xm:f>'Top Artists Over Time'!B26:K26</xm:f>
              <xm:sqref>O26</xm:sqref>
            </x14:sparkline>
            <x14:sparkline>
              <xm:f>'Top Artists Over Time'!B27:K27</xm:f>
              <xm:sqref>O27</xm:sqref>
            </x14:sparkline>
            <x14:sparkline>
              <xm:f>'Top Artists Over Time'!B28:K28</xm:f>
              <xm:sqref>O28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5DFB-F134-0F44-A1B1-2A7DC516B90C}">
  <sheetPr>
    <tabColor rgb="FF7030A0"/>
  </sheetPr>
  <dimension ref="B35"/>
  <sheetViews>
    <sheetView tabSelected="1" workbookViewId="0">
      <selection activeCell="R1" sqref="R1"/>
    </sheetView>
  </sheetViews>
  <sheetFormatPr baseColWidth="10" defaultRowHeight="16"/>
  <sheetData>
    <row r="35" spans="2:2" ht="18">
      <c r="B35" s="65" t="s">
        <v>434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5291-0177-3A46-8D86-45E363EC2EB1}">
  <sheetPr>
    <tabColor rgb="FFD0D0E8"/>
  </sheetPr>
  <dimension ref="A1:P26"/>
  <sheetViews>
    <sheetView zoomScale="110" zoomScaleNormal="110" workbookViewId="0">
      <pane ySplit="6" topLeftCell="A7" activePane="bottomLeft" state="frozen"/>
      <selection activeCell="F30" sqref="F30"/>
      <selection pane="bottomLeft" activeCell="K30" sqref="K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45.5" customWidth="1"/>
    <col min="7" max="7" width="14.6640625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317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264.58941666666669</v>
      </c>
      <c r="D7" s="16"/>
      <c r="E7" s="13">
        <v>1</v>
      </c>
      <c r="F7" s="14" t="s">
        <v>159</v>
      </c>
      <c r="G7" s="14" t="s">
        <v>8</v>
      </c>
      <c r="H7" s="46">
        <v>38.733516666666667</v>
      </c>
      <c r="I7" s="16"/>
      <c r="J7" s="13">
        <v>1</v>
      </c>
      <c r="K7" s="14" t="s">
        <v>137</v>
      </c>
      <c r="L7" s="14" t="s">
        <v>6</v>
      </c>
      <c r="M7" s="46">
        <v>137.36678333333333</v>
      </c>
    </row>
    <row r="8" spans="1:16" ht="18" customHeight="1">
      <c r="A8" s="18">
        <v>2</v>
      </c>
      <c r="B8" s="2" t="s">
        <v>15</v>
      </c>
      <c r="C8" s="47">
        <v>241.06870000000001</v>
      </c>
      <c r="D8" s="16"/>
      <c r="E8" s="18">
        <v>2</v>
      </c>
      <c r="F8" s="2" t="s">
        <v>138</v>
      </c>
      <c r="G8" s="2" t="s">
        <v>8</v>
      </c>
      <c r="H8" s="47">
        <v>28.061016666666667</v>
      </c>
      <c r="I8" s="16"/>
      <c r="J8" s="18">
        <v>2</v>
      </c>
      <c r="K8" s="2" t="s">
        <v>158</v>
      </c>
      <c r="L8" s="2" t="s">
        <v>21</v>
      </c>
      <c r="M8" s="47">
        <v>132.31635</v>
      </c>
    </row>
    <row r="9" spans="1:16" ht="18" customHeight="1">
      <c r="A9" s="18">
        <v>3</v>
      </c>
      <c r="B9" s="2" t="s">
        <v>8</v>
      </c>
      <c r="C9" s="47">
        <v>233.69826666666665</v>
      </c>
      <c r="D9" s="16"/>
      <c r="E9" s="18">
        <v>3</v>
      </c>
      <c r="F9" s="2" t="s">
        <v>223</v>
      </c>
      <c r="G9" s="2" t="s">
        <v>21</v>
      </c>
      <c r="H9" s="47">
        <v>22.323450000000001</v>
      </c>
      <c r="I9" s="16"/>
      <c r="J9" s="18">
        <v>3</v>
      </c>
      <c r="K9" s="2" t="s">
        <v>201</v>
      </c>
      <c r="L9" s="2" t="s">
        <v>28</v>
      </c>
      <c r="M9" s="47">
        <v>123.38823333333333</v>
      </c>
    </row>
    <row r="10" spans="1:16" ht="18" customHeight="1">
      <c r="A10" s="18">
        <v>4</v>
      </c>
      <c r="B10" s="2" t="s">
        <v>21</v>
      </c>
      <c r="C10" s="47">
        <v>135.68235000000001</v>
      </c>
      <c r="D10" s="16"/>
      <c r="E10" s="18">
        <v>4</v>
      </c>
      <c r="F10" s="2" t="s">
        <v>215</v>
      </c>
      <c r="G10" s="2" t="s">
        <v>5</v>
      </c>
      <c r="H10" s="47">
        <v>19.705983333333332</v>
      </c>
      <c r="I10" s="16"/>
      <c r="J10" s="18">
        <v>4</v>
      </c>
      <c r="K10" s="2" t="s">
        <v>161</v>
      </c>
      <c r="L10" s="2" t="s">
        <v>15</v>
      </c>
      <c r="M10" s="47">
        <v>120.21013333333333</v>
      </c>
    </row>
    <row r="11" spans="1:16" ht="18" customHeight="1">
      <c r="A11" s="18">
        <v>5</v>
      </c>
      <c r="B11" s="2" t="s">
        <v>5</v>
      </c>
      <c r="C11" s="47">
        <v>130.97198333333333</v>
      </c>
      <c r="D11" s="16"/>
      <c r="E11" s="18">
        <v>5</v>
      </c>
      <c r="F11" s="2" t="s">
        <v>144</v>
      </c>
      <c r="G11" s="2" t="s">
        <v>6</v>
      </c>
      <c r="H11" s="47">
        <v>18.794383333333332</v>
      </c>
      <c r="I11" s="16"/>
      <c r="J11" s="18">
        <v>5</v>
      </c>
      <c r="K11" s="2" t="s">
        <v>145</v>
      </c>
      <c r="L11" s="2" t="s">
        <v>5</v>
      </c>
      <c r="M11" s="47">
        <v>105.75096666666667</v>
      </c>
      <c r="P11" s="21"/>
    </row>
    <row r="12" spans="1:16" ht="18" customHeight="1">
      <c r="A12" s="22">
        <v>6</v>
      </c>
      <c r="B12" s="3" t="s">
        <v>28</v>
      </c>
      <c r="C12" s="48">
        <v>127.02421666666666</v>
      </c>
      <c r="D12" s="16"/>
      <c r="E12" s="22">
        <v>6</v>
      </c>
      <c r="F12" s="3" t="s">
        <v>321</v>
      </c>
      <c r="G12" s="3" t="s">
        <v>15</v>
      </c>
      <c r="H12" s="48">
        <v>18.564133333333334</v>
      </c>
      <c r="I12" s="16"/>
      <c r="J12" s="22">
        <v>6</v>
      </c>
      <c r="K12" s="3" t="s">
        <v>143</v>
      </c>
      <c r="L12" s="3" t="s">
        <v>8</v>
      </c>
      <c r="M12" s="48">
        <v>103.40856666666667</v>
      </c>
    </row>
    <row r="13" spans="1:16" ht="18" customHeight="1">
      <c r="A13" s="22">
        <v>7</v>
      </c>
      <c r="B13" s="3" t="s">
        <v>39</v>
      </c>
      <c r="C13" s="48">
        <v>81.623166666666663</v>
      </c>
      <c r="D13" s="16"/>
      <c r="E13" s="22">
        <v>7</v>
      </c>
      <c r="F13" s="3" t="s">
        <v>162</v>
      </c>
      <c r="G13" s="3" t="s">
        <v>6</v>
      </c>
      <c r="H13" s="48">
        <v>17.858699999999999</v>
      </c>
      <c r="I13" s="16"/>
      <c r="J13" s="22">
        <v>7</v>
      </c>
      <c r="K13" s="3" t="s">
        <v>208</v>
      </c>
      <c r="L13" s="3" t="s">
        <v>8</v>
      </c>
      <c r="M13" s="48">
        <v>83.152850000000001</v>
      </c>
    </row>
    <row r="14" spans="1:16" ht="18" customHeight="1">
      <c r="A14" s="22">
        <v>8</v>
      </c>
      <c r="B14" s="3" t="s">
        <v>33</v>
      </c>
      <c r="C14" s="48">
        <v>57.57586666666667</v>
      </c>
      <c r="D14" s="16"/>
      <c r="E14" s="22">
        <v>8</v>
      </c>
      <c r="F14" s="3" t="s">
        <v>322</v>
      </c>
      <c r="G14" s="3" t="s">
        <v>15</v>
      </c>
      <c r="H14" s="48">
        <v>17.284216666666666</v>
      </c>
      <c r="I14" s="16"/>
      <c r="J14" s="22">
        <v>8</v>
      </c>
      <c r="K14" s="3" t="s">
        <v>222</v>
      </c>
      <c r="L14" s="3" t="s">
        <v>15</v>
      </c>
      <c r="M14" s="48">
        <v>80.058083333333329</v>
      </c>
    </row>
    <row r="15" spans="1:16" ht="18" customHeight="1">
      <c r="A15" s="22">
        <v>9</v>
      </c>
      <c r="B15" s="3" t="s">
        <v>51</v>
      </c>
      <c r="C15" s="48">
        <v>55.518266666666669</v>
      </c>
      <c r="D15" s="16"/>
      <c r="E15" s="22">
        <v>9</v>
      </c>
      <c r="F15" s="3" t="s">
        <v>323</v>
      </c>
      <c r="G15" s="3" t="s">
        <v>28</v>
      </c>
      <c r="H15" s="48">
        <v>16.679966666666665</v>
      </c>
      <c r="I15" s="16"/>
      <c r="J15" s="22">
        <v>9</v>
      </c>
      <c r="K15" s="3" t="s">
        <v>250</v>
      </c>
      <c r="L15" s="3" t="s">
        <v>39</v>
      </c>
      <c r="M15" s="48">
        <v>61.559150000000002</v>
      </c>
    </row>
    <row r="16" spans="1:16" ht="18" customHeight="1">
      <c r="A16" s="22">
        <v>10</v>
      </c>
      <c r="B16" s="3" t="s">
        <v>20</v>
      </c>
      <c r="C16" s="48">
        <v>48.295400000000001</v>
      </c>
      <c r="D16" s="16"/>
      <c r="E16" s="22">
        <v>10</v>
      </c>
      <c r="F16" s="3" t="s">
        <v>324</v>
      </c>
      <c r="G16" s="3" t="s">
        <v>8</v>
      </c>
      <c r="H16" s="48">
        <v>14.8217</v>
      </c>
      <c r="I16" s="16"/>
      <c r="J16" s="22">
        <v>10</v>
      </c>
      <c r="K16" s="3" t="s">
        <v>220</v>
      </c>
      <c r="L16" s="3" t="s">
        <v>33</v>
      </c>
      <c r="M16" s="48">
        <v>57.57586666666667</v>
      </c>
    </row>
    <row r="17" spans="1:13" ht="18" customHeight="1">
      <c r="A17" s="25">
        <v>11</v>
      </c>
      <c r="B17" s="4" t="s">
        <v>57</v>
      </c>
      <c r="C17" s="49">
        <v>44.400783333333337</v>
      </c>
      <c r="D17" s="16"/>
      <c r="E17" s="25">
        <v>11</v>
      </c>
      <c r="F17" s="4" t="s">
        <v>233</v>
      </c>
      <c r="G17" s="4" t="s">
        <v>30</v>
      </c>
      <c r="H17" s="49">
        <v>14.703150000000001</v>
      </c>
      <c r="I17" s="16"/>
      <c r="J17" s="25">
        <v>11</v>
      </c>
      <c r="K17" s="4" t="s">
        <v>285</v>
      </c>
      <c r="L17" s="4" t="s">
        <v>51</v>
      </c>
      <c r="M17" s="49">
        <v>50.907166666666669</v>
      </c>
    </row>
    <row r="18" spans="1:13" ht="18" customHeight="1">
      <c r="A18" s="25">
        <v>12</v>
      </c>
      <c r="B18" s="4" t="s">
        <v>37</v>
      </c>
      <c r="C18" s="49">
        <v>41.4268</v>
      </c>
      <c r="D18" s="16"/>
      <c r="E18" s="25">
        <v>12</v>
      </c>
      <c r="F18" s="4" t="s">
        <v>325</v>
      </c>
      <c r="G18" s="4" t="s">
        <v>21</v>
      </c>
      <c r="H18" s="49">
        <v>14.65865</v>
      </c>
      <c r="I18" s="16"/>
      <c r="J18" s="25">
        <v>12</v>
      </c>
      <c r="K18" s="4" t="s">
        <v>218</v>
      </c>
      <c r="L18" s="4" t="s">
        <v>20</v>
      </c>
      <c r="M18" s="49">
        <v>48.295400000000001</v>
      </c>
    </row>
    <row r="19" spans="1:13" ht="18" customHeight="1">
      <c r="A19" s="25">
        <v>13</v>
      </c>
      <c r="B19" s="4" t="s">
        <v>23</v>
      </c>
      <c r="C19" s="49">
        <v>40.607216666666666</v>
      </c>
      <c r="D19" s="16"/>
      <c r="E19" s="25">
        <v>13</v>
      </c>
      <c r="F19" s="4" t="s">
        <v>326</v>
      </c>
      <c r="G19" s="4" t="s">
        <v>15</v>
      </c>
      <c r="H19" s="49">
        <v>14.6023</v>
      </c>
      <c r="I19" s="16"/>
      <c r="J19" s="25">
        <v>13</v>
      </c>
      <c r="K19" s="4" t="s">
        <v>165</v>
      </c>
      <c r="L19" s="4" t="s">
        <v>8</v>
      </c>
      <c r="M19" s="49">
        <v>47.136850000000003</v>
      </c>
    </row>
    <row r="20" spans="1:13" ht="18" customHeight="1">
      <c r="A20" s="25">
        <v>14</v>
      </c>
      <c r="B20" s="4" t="s">
        <v>26</v>
      </c>
      <c r="C20" s="49">
        <v>30.602</v>
      </c>
      <c r="D20" s="16"/>
      <c r="E20" s="25">
        <v>14</v>
      </c>
      <c r="F20" s="4" t="s">
        <v>182</v>
      </c>
      <c r="G20" s="4" t="s">
        <v>6</v>
      </c>
      <c r="H20" s="49">
        <v>13.961783333333333</v>
      </c>
      <c r="I20" s="16"/>
      <c r="J20" s="25">
        <v>14</v>
      </c>
      <c r="K20" s="4" t="s">
        <v>141</v>
      </c>
      <c r="L20" s="4" t="s">
        <v>6</v>
      </c>
      <c r="M20" s="49">
        <v>47.096550000000001</v>
      </c>
    </row>
    <row r="21" spans="1:13" ht="18" customHeight="1">
      <c r="A21" s="25">
        <v>15</v>
      </c>
      <c r="B21" s="4" t="s">
        <v>47</v>
      </c>
      <c r="C21" s="49">
        <v>29.760116666666665</v>
      </c>
      <c r="D21" s="16"/>
      <c r="E21" s="25">
        <v>15</v>
      </c>
      <c r="F21" s="4" t="s">
        <v>327</v>
      </c>
      <c r="G21" s="4" t="s">
        <v>8</v>
      </c>
      <c r="H21" s="49">
        <v>13.478633333333333</v>
      </c>
      <c r="I21" s="16"/>
      <c r="J21" s="25">
        <v>15</v>
      </c>
      <c r="K21" s="4" t="s">
        <v>151</v>
      </c>
      <c r="L21" s="4" t="s">
        <v>6</v>
      </c>
      <c r="M21" s="49">
        <v>40.962566666666667</v>
      </c>
    </row>
    <row r="22" spans="1:13" ht="18" customHeight="1">
      <c r="A22" s="28">
        <v>16</v>
      </c>
      <c r="B22" s="5" t="s">
        <v>30</v>
      </c>
      <c r="C22" s="50">
        <v>24.136700000000001</v>
      </c>
      <c r="D22" s="16"/>
      <c r="E22" s="28">
        <v>16</v>
      </c>
      <c r="F22" s="5" t="s">
        <v>328</v>
      </c>
      <c r="G22" s="5" t="s">
        <v>21</v>
      </c>
      <c r="H22" s="50">
        <v>13.429333333333334</v>
      </c>
      <c r="I22" s="16"/>
      <c r="J22" s="28">
        <v>16</v>
      </c>
      <c r="K22" s="5" t="s">
        <v>169</v>
      </c>
      <c r="L22" s="5" t="s">
        <v>6</v>
      </c>
      <c r="M22" s="50">
        <v>36.593916666666665</v>
      </c>
    </row>
    <row r="23" spans="1:13" ht="18" customHeight="1">
      <c r="A23" s="28">
        <v>17</v>
      </c>
      <c r="B23" s="5" t="s">
        <v>17</v>
      </c>
      <c r="C23" s="50">
        <v>22.285299999999999</v>
      </c>
      <c r="D23" s="16"/>
      <c r="E23" s="28">
        <v>17</v>
      </c>
      <c r="F23" s="5" t="s">
        <v>329</v>
      </c>
      <c r="G23" s="5" t="s">
        <v>21</v>
      </c>
      <c r="H23" s="50">
        <v>13.334916666666667</v>
      </c>
      <c r="I23" s="16"/>
      <c r="J23" s="28">
        <v>17</v>
      </c>
      <c r="K23" s="5" t="s">
        <v>336</v>
      </c>
      <c r="L23" s="5" t="s">
        <v>37</v>
      </c>
      <c r="M23" s="50">
        <v>32.092133333333337</v>
      </c>
    </row>
    <row r="24" spans="1:13" ht="18" customHeight="1">
      <c r="A24" s="28">
        <v>18</v>
      </c>
      <c r="B24" s="5" t="s">
        <v>16</v>
      </c>
      <c r="C24" s="50">
        <v>19.690799999999999</v>
      </c>
      <c r="D24" s="16"/>
      <c r="E24" s="28">
        <v>18</v>
      </c>
      <c r="F24" s="5" t="s">
        <v>330</v>
      </c>
      <c r="G24" s="5" t="s">
        <v>21</v>
      </c>
      <c r="H24" s="50">
        <v>12.918850000000001</v>
      </c>
      <c r="I24" s="16"/>
      <c r="J24" s="28">
        <v>18</v>
      </c>
      <c r="K24" s="5" t="s">
        <v>216</v>
      </c>
      <c r="L24" s="5" t="s">
        <v>26</v>
      </c>
      <c r="M24" s="50">
        <v>30.602</v>
      </c>
    </row>
    <row r="25" spans="1:13" ht="18" customHeight="1">
      <c r="A25" s="28">
        <v>19</v>
      </c>
      <c r="B25" s="5" t="s">
        <v>55</v>
      </c>
      <c r="C25" s="50">
        <v>16.176666666666666</v>
      </c>
      <c r="D25" s="16"/>
      <c r="E25" s="28">
        <v>19</v>
      </c>
      <c r="F25" s="5" t="s">
        <v>331</v>
      </c>
      <c r="G25" s="5" t="s">
        <v>15</v>
      </c>
      <c r="H25" s="50">
        <v>12.884499999999999</v>
      </c>
      <c r="I25" s="16"/>
      <c r="J25" s="28">
        <v>19</v>
      </c>
      <c r="K25" s="5" t="s">
        <v>277</v>
      </c>
      <c r="L25" s="5" t="s">
        <v>47</v>
      </c>
      <c r="M25" s="50">
        <v>29.760116666666665</v>
      </c>
    </row>
    <row r="26" spans="1:13" ht="18" customHeight="1">
      <c r="A26" s="31">
        <v>20</v>
      </c>
      <c r="B26" s="32" t="s">
        <v>10</v>
      </c>
      <c r="C26" s="51">
        <v>15.014533333333333</v>
      </c>
      <c r="D26" s="16"/>
      <c r="E26" s="31">
        <v>20</v>
      </c>
      <c r="F26" s="32" t="s">
        <v>332</v>
      </c>
      <c r="G26" s="32" t="s">
        <v>21</v>
      </c>
      <c r="H26" s="51">
        <v>12.736666666666666</v>
      </c>
      <c r="I26" s="16"/>
      <c r="J26" s="31">
        <v>20</v>
      </c>
      <c r="K26" s="32" t="s">
        <v>340</v>
      </c>
      <c r="L26" s="32" t="s">
        <v>15</v>
      </c>
      <c r="M26" s="51">
        <v>27.915983333333333</v>
      </c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BBA47-E472-EF40-AA1C-B80F0BA112C1}">
  <sheetPr>
    <tabColor rgb="FFD0D0E8"/>
  </sheetPr>
  <dimension ref="A1:P27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5</v>
      </c>
      <c r="C7" s="46">
        <v>1346.1851999999999</v>
      </c>
      <c r="D7" s="16"/>
      <c r="E7" s="13">
        <v>1</v>
      </c>
      <c r="F7" s="14" t="s">
        <v>133</v>
      </c>
      <c r="G7" s="14" t="s">
        <v>5</v>
      </c>
      <c r="H7" s="46">
        <v>110.2351</v>
      </c>
      <c r="I7" s="16"/>
      <c r="J7" s="13">
        <v>1</v>
      </c>
      <c r="K7" s="14" t="s">
        <v>133</v>
      </c>
      <c r="L7" s="14" t="s">
        <v>5</v>
      </c>
      <c r="M7" s="46">
        <v>515.3492</v>
      </c>
    </row>
    <row r="8" spans="1:16" ht="18" customHeight="1">
      <c r="A8" s="18">
        <v>2</v>
      </c>
      <c r="B8" s="2" t="s">
        <v>9</v>
      </c>
      <c r="C8" s="47">
        <v>493.71803333333332</v>
      </c>
      <c r="D8" s="16"/>
      <c r="E8" s="18">
        <v>2</v>
      </c>
      <c r="F8" s="2" t="s">
        <v>134</v>
      </c>
      <c r="G8" s="2" t="s">
        <v>5</v>
      </c>
      <c r="H8" s="47">
        <v>96.033766666666665</v>
      </c>
      <c r="I8" s="16"/>
      <c r="J8" s="18">
        <v>2</v>
      </c>
      <c r="K8" s="2" t="s">
        <v>139</v>
      </c>
      <c r="L8" s="2" t="s">
        <v>9</v>
      </c>
      <c r="M8" s="47">
        <v>401.95153333333332</v>
      </c>
    </row>
    <row r="9" spans="1:16" ht="18" customHeight="1">
      <c r="A9" s="18">
        <v>3</v>
      </c>
      <c r="B9" s="2" t="s">
        <v>20</v>
      </c>
      <c r="C9" s="47">
        <v>206.07503333333332</v>
      </c>
      <c r="D9" s="16"/>
      <c r="E9" s="18">
        <v>3</v>
      </c>
      <c r="F9" s="2" t="s">
        <v>136</v>
      </c>
      <c r="G9" s="2" t="s">
        <v>5</v>
      </c>
      <c r="H9" s="47">
        <v>77.236800000000002</v>
      </c>
      <c r="I9" s="16"/>
      <c r="J9" s="18">
        <v>3</v>
      </c>
      <c r="K9" s="2" t="s">
        <v>147</v>
      </c>
      <c r="L9" s="2" t="s">
        <v>5</v>
      </c>
      <c r="M9" s="47">
        <v>226.35071666666667</v>
      </c>
    </row>
    <row r="10" spans="1:16" ht="18" customHeight="1">
      <c r="A10" s="18">
        <v>4</v>
      </c>
      <c r="B10" s="2" t="s">
        <v>8</v>
      </c>
      <c r="C10" s="47">
        <v>105.74556666666666</v>
      </c>
      <c r="D10" s="16"/>
      <c r="E10" s="18">
        <v>4</v>
      </c>
      <c r="F10" s="2" t="s">
        <v>142</v>
      </c>
      <c r="G10" s="2" t="s">
        <v>5</v>
      </c>
      <c r="H10" s="47">
        <v>68.993216666666669</v>
      </c>
      <c r="I10" s="16"/>
      <c r="J10" s="18">
        <v>4</v>
      </c>
      <c r="K10" s="2" t="s">
        <v>145</v>
      </c>
      <c r="L10" s="2" t="s">
        <v>5</v>
      </c>
      <c r="M10" s="47">
        <v>186.64413333333334</v>
      </c>
    </row>
    <row r="11" spans="1:16" ht="18" customHeight="1">
      <c r="A11" s="18">
        <v>5</v>
      </c>
      <c r="B11" s="2" t="s">
        <v>30</v>
      </c>
      <c r="C11" s="47">
        <v>92.588350000000005</v>
      </c>
      <c r="D11" s="16"/>
      <c r="E11" s="18">
        <v>5</v>
      </c>
      <c r="F11" s="2" t="s">
        <v>154</v>
      </c>
      <c r="G11" s="2" t="s">
        <v>9</v>
      </c>
      <c r="H11" s="47">
        <v>58.390749999999997</v>
      </c>
      <c r="I11" s="16"/>
      <c r="J11" s="18">
        <v>5</v>
      </c>
      <c r="K11" s="2" t="s">
        <v>153</v>
      </c>
      <c r="L11" s="2" t="s">
        <v>5</v>
      </c>
      <c r="M11" s="47">
        <v>173.90344999999999</v>
      </c>
      <c r="P11" s="21"/>
    </row>
    <row r="12" spans="1:16" ht="18" customHeight="1">
      <c r="A12" s="22">
        <v>6</v>
      </c>
      <c r="B12" s="3" t="s">
        <v>26</v>
      </c>
      <c r="C12" s="48">
        <v>87.580466666666666</v>
      </c>
      <c r="D12" s="16"/>
      <c r="E12" s="22">
        <v>6</v>
      </c>
      <c r="F12" s="3" t="s">
        <v>152</v>
      </c>
      <c r="G12" s="3" t="s">
        <v>5</v>
      </c>
      <c r="H12" s="48">
        <v>56.763283333333334</v>
      </c>
      <c r="I12" s="16"/>
      <c r="J12" s="22">
        <v>6</v>
      </c>
      <c r="K12" s="3" t="s">
        <v>171</v>
      </c>
      <c r="L12" s="3" t="s">
        <v>5</v>
      </c>
      <c r="M12" s="48">
        <v>138.4701</v>
      </c>
    </row>
    <row r="13" spans="1:16" ht="18" customHeight="1">
      <c r="A13" s="22">
        <v>7</v>
      </c>
      <c r="B13" s="3" t="s">
        <v>6</v>
      </c>
      <c r="C13" s="48">
        <v>82.985883333333334</v>
      </c>
      <c r="D13" s="16"/>
      <c r="E13" s="22">
        <v>7</v>
      </c>
      <c r="F13" s="3" t="s">
        <v>164</v>
      </c>
      <c r="G13" s="3" t="s">
        <v>5</v>
      </c>
      <c r="H13" s="48">
        <v>53.202683333333333</v>
      </c>
      <c r="I13" s="16"/>
      <c r="J13" s="22">
        <v>7</v>
      </c>
      <c r="K13" s="3" t="s">
        <v>143</v>
      </c>
      <c r="L13" s="3" t="s">
        <v>8</v>
      </c>
      <c r="M13" s="48">
        <v>88.400266666666667</v>
      </c>
    </row>
    <row r="14" spans="1:16" ht="18" customHeight="1">
      <c r="A14" s="22">
        <v>8</v>
      </c>
      <c r="B14" s="3" t="s">
        <v>13</v>
      </c>
      <c r="C14" s="48">
        <v>72.086883333333333</v>
      </c>
      <c r="D14" s="16"/>
      <c r="E14" s="22">
        <v>8</v>
      </c>
      <c r="F14" s="3" t="s">
        <v>176</v>
      </c>
      <c r="G14" s="3" t="s">
        <v>9</v>
      </c>
      <c r="H14" s="48">
        <v>43.12531666666667</v>
      </c>
      <c r="I14" s="16"/>
      <c r="J14" s="22">
        <v>8</v>
      </c>
      <c r="K14" s="3" t="s">
        <v>177</v>
      </c>
      <c r="L14" s="3" t="s">
        <v>5</v>
      </c>
      <c r="M14" s="48">
        <v>87.558549999999997</v>
      </c>
    </row>
    <row r="15" spans="1:16" ht="18" customHeight="1">
      <c r="A15" s="22">
        <v>9</v>
      </c>
      <c r="B15" s="3" t="s">
        <v>16</v>
      </c>
      <c r="C15" s="48">
        <v>47.615716666666664</v>
      </c>
      <c r="D15" s="16"/>
      <c r="E15" s="22">
        <v>9</v>
      </c>
      <c r="F15" s="3" t="s">
        <v>209</v>
      </c>
      <c r="G15" s="3" t="s">
        <v>9</v>
      </c>
      <c r="H15" s="48">
        <v>38.260199999999998</v>
      </c>
      <c r="I15" s="16"/>
      <c r="J15" s="22">
        <v>9</v>
      </c>
      <c r="K15" s="3" t="s">
        <v>212</v>
      </c>
      <c r="L15" s="3" t="s">
        <v>9</v>
      </c>
      <c r="M15" s="48">
        <v>80.289749999999998</v>
      </c>
    </row>
    <row r="16" spans="1:16" ht="18" customHeight="1">
      <c r="A16" s="22">
        <v>10</v>
      </c>
      <c r="B16" s="3" t="s">
        <v>25</v>
      </c>
      <c r="C16" s="48">
        <v>34.647716666666668</v>
      </c>
      <c r="D16" s="16"/>
      <c r="E16" s="22">
        <v>10</v>
      </c>
      <c r="F16" s="3" t="s">
        <v>147</v>
      </c>
      <c r="G16" s="3" t="s">
        <v>5</v>
      </c>
      <c r="H16" s="48">
        <v>38.173416666666668</v>
      </c>
      <c r="I16" s="16"/>
      <c r="J16" s="22">
        <v>10</v>
      </c>
      <c r="K16" s="3" t="s">
        <v>230</v>
      </c>
      <c r="L16" s="3" t="s">
        <v>20</v>
      </c>
      <c r="M16" s="48">
        <v>77.424366666666671</v>
      </c>
    </row>
    <row r="17" spans="1:13" ht="18" customHeight="1">
      <c r="A17" s="25">
        <v>11</v>
      </c>
      <c r="B17" s="4" t="s">
        <v>82</v>
      </c>
      <c r="C17" s="49">
        <v>28.370850000000001</v>
      </c>
      <c r="D17" s="16"/>
      <c r="E17" s="25">
        <v>11</v>
      </c>
      <c r="F17" s="4" t="s">
        <v>225</v>
      </c>
      <c r="G17" s="4" t="s">
        <v>9</v>
      </c>
      <c r="H17" s="49">
        <v>37.656883333333333</v>
      </c>
      <c r="I17" s="16"/>
      <c r="J17" s="25">
        <v>11</v>
      </c>
      <c r="K17" s="4" t="s">
        <v>141</v>
      </c>
      <c r="L17" s="4" t="s">
        <v>6</v>
      </c>
      <c r="M17" s="49">
        <v>57.129249999999999</v>
      </c>
    </row>
    <row r="18" spans="1:13" ht="18" customHeight="1">
      <c r="A18" s="25">
        <v>12</v>
      </c>
      <c r="B18" s="4" t="s">
        <v>21</v>
      </c>
      <c r="C18" s="49">
        <v>25.178550000000001</v>
      </c>
      <c r="D18" s="16"/>
      <c r="E18" s="25">
        <v>12</v>
      </c>
      <c r="F18" s="4" t="s">
        <v>178</v>
      </c>
      <c r="G18" s="4" t="s">
        <v>9</v>
      </c>
      <c r="H18" s="49">
        <v>37.065249999999999</v>
      </c>
      <c r="I18" s="16"/>
      <c r="J18" s="25">
        <v>12</v>
      </c>
      <c r="K18" s="4" t="s">
        <v>233</v>
      </c>
      <c r="L18" s="4" t="s">
        <v>30</v>
      </c>
      <c r="M18" s="49">
        <v>49.283250000000002</v>
      </c>
    </row>
    <row r="19" spans="1:13" ht="18" customHeight="1">
      <c r="A19" s="25">
        <v>13</v>
      </c>
      <c r="B19" s="4" t="s">
        <v>10</v>
      </c>
      <c r="C19" s="49">
        <v>24.011916666666668</v>
      </c>
      <c r="D19" s="16"/>
      <c r="E19" s="25">
        <v>13</v>
      </c>
      <c r="F19" s="4" t="s">
        <v>168</v>
      </c>
      <c r="G19" s="4" t="s">
        <v>5</v>
      </c>
      <c r="H19" s="49">
        <v>36.512450000000001</v>
      </c>
      <c r="I19" s="16"/>
      <c r="J19" s="25">
        <v>13</v>
      </c>
      <c r="K19" s="4" t="s">
        <v>179</v>
      </c>
      <c r="L19" s="4" t="s">
        <v>16</v>
      </c>
      <c r="M19" s="49">
        <v>47.615716666666664</v>
      </c>
    </row>
    <row r="20" spans="1:13" ht="18" customHeight="1">
      <c r="A20" s="25">
        <v>14</v>
      </c>
      <c r="B20" s="4" t="s">
        <v>15</v>
      </c>
      <c r="C20" s="49">
        <v>23.986999999999998</v>
      </c>
      <c r="D20" s="16"/>
      <c r="E20" s="25">
        <v>14</v>
      </c>
      <c r="F20" s="4" t="s">
        <v>259</v>
      </c>
      <c r="G20" s="4" t="s">
        <v>9</v>
      </c>
      <c r="H20" s="49">
        <v>34.022833333333331</v>
      </c>
      <c r="I20" s="16"/>
      <c r="J20" s="25">
        <v>14</v>
      </c>
      <c r="K20" s="4" t="s">
        <v>218</v>
      </c>
      <c r="L20" s="4" t="s">
        <v>20</v>
      </c>
      <c r="M20" s="49">
        <v>47.422283333333333</v>
      </c>
    </row>
    <row r="21" spans="1:13" ht="18" customHeight="1">
      <c r="A21" s="25">
        <v>15</v>
      </c>
      <c r="B21" s="4" t="s">
        <v>17</v>
      </c>
      <c r="C21" s="49">
        <v>18.095533333333332</v>
      </c>
      <c r="D21" s="16"/>
      <c r="E21" s="25">
        <v>15</v>
      </c>
      <c r="F21" s="4" t="s">
        <v>180</v>
      </c>
      <c r="G21" s="4" t="s">
        <v>5</v>
      </c>
      <c r="H21" s="49">
        <v>32.74516666666667</v>
      </c>
      <c r="I21" s="16"/>
      <c r="J21" s="25">
        <v>15</v>
      </c>
      <c r="K21" s="4" t="s">
        <v>216</v>
      </c>
      <c r="L21" s="4" t="s">
        <v>26</v>
      </c>
      <c r="M21" s="49">
        <v>46.545616666666668</v>
      </c>
    </row>
    <row r="22" spans="1:13" ht="18" customHeight="1">
      <c r="A22" s="28">
        <v>16</v>
      </c>
      <c r="B22" s="5" t="s">
        <v>12</v>
      </c>
      <c r="C22" s="50">
        <v>16.843316666666666</v>
      </c>
      <c r="D22" s="16"/>
      <c r="E22" s="28">
        <v>16</v>
      </c>
      <c r="F22" s="5" t="s">
        <v>237</v>
      </c>
      <c r="G22" s="5" t="s">
        <v>9</v>
      </c>
      <c r="H22" s="50">
        <v>32.432016666666669</v>
      </c>
      <c r="I22" s="16"/>
      <c r="J22" s="28">
        <v>16</v>
      </c>
      <c r="K22" s="5" t="s">
        <v>337</v>
      </c>
      <c r="L22" s="5" t="s">
        <v>30</v>
      </c>
      <c r="M22" s="50">
        <v>38.073033333333335</v>
      </c>
    </row>
    <row r="23" spans="1:13" ht="18" customHeight="1">
      <c r="A23" s="28">
        <v>17</v>
      </c>
      <c r="B23" s="5" t="s">
        <v>23</v>
      </c>
      <c r="C23" s="50">
        <v>14.944566666666667</v>
      </c>
      <c r="D23" s="16"/>
      <c r="E23" s="28">
        <v>17</v>
      </c>
      <c r="F23" s="5" t="s">
        <v>192</v>
      </c>
      <c r="G23" s="5" t="s">
        <v>5</v>
      </c>
      <c r="H23" s="50">
        <v>32.398133333333334</v>
      </c>
      <c r="I23" s="16"/>
      <c r="J23" s="28">
        <v>17</v>
      </c>
      <c r="K23" s="5" t="s">
        <v>305</v>
      </c>
      <c r="L23" s="5" t="s">
        <v>9</v>
      </c>
      <c r="M23" s="50">
        <v>36.542666666666669</v>
      </c>
    </row>
    <row r="24" spans="1:13" ht="18" customHeight="1">
      <c r="A24" s="28">
        <v>18</v>
      </c>
      <c r="B24" s="5" t="s">
        <v>58</v>
      </c>
      <c r="C24" s="50">
        <v>14.201983333333333</v>
      </c>
      <c r="D24" s="16"/>
      <c r="E24" s="28">
        <v>18</v>
      </c>
      <c r="F24" s="5" t="s">
        <v>263</v>
      </c>
      <c r="G24" s="5" t="s">
        <v>5</v>
      </c>
      <c r="H24" s="50">
        <v>31.536516666666667</v>
      </c>
      <c r="I24" s="16"/>
      <c r="J24" s="28">
        <v>18</v>
      </c>
      <c r="K24" s="5" t="s">
        <v>307</v>
      </c>
      <c r="L24" s="5" t="s">
        <v>25</v>
      </c>
      <c r="M24" s="50">
        <v>27.575949999999999</v>
      </c>
    </row>
    <row r="25" spans="1:13" ht="18" customHeight="1">
      <c r="A25" s="31">
        <v>19</v>
      </c>
      <c r="B25" s="32" t="s">
        <v>61</v>
      </c>
      <c r="C25" s="51">
        <v>12.11905</v>
      </c>
      <c r="D25" s="16"/>
      <c r="E25" s="31">
        <v>19</v>
      </c>
      <c r="F25" s="32" t="s">
        <v>297</v>
      </c>
      <c r="G25" s="32" t="s">
        <v>9</v>
      </c>
      <c r="H25" s="51">
        <v>30.038983333333334</v>
      </c>
      <c r="I25" s="16"/>
      <c r="J25" s="31">
        <v>19</v>
      </c>
      <c r="K25" s="32" t="s">
        <v>161</v>
      </c>
      <c r="L25" s="32" t="s">
        <v>15</v>
      </c>
      <c r="M25" s="51">
        <v>20.086783333333333</v>
      </c>
    </row>
    <row r="26" spans="1:13" ht="18" customHeight="1">
      <c r="M26" s="52"/>
    </row>
    <row r="27" spans="1:13" ht="18" customHeight="1">
      <c r="M27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90B69-AFB4-A54B-9485-72B4D185A557}">
  <sheetPr>
    <tabColor rgb="FFD0D0E8"/>
  </sheetPr>
  <dimension ref="A1:P31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13</v>
      </c>
      <c r="C7" s="46">
        <v>363.75953333333331</v>
      </c>
      <c r="D7" s="16"/>
      <c r="E7" s="13">
        <v>1</v>
      </c>
      <c r="F7" s="14" t="s">
        <v>146</v>
      </c>
      <c r="G7" s="14" t="s">
        <v>11</v>
      </c>
      <c r="H7" s="46">
        <v>27</v>
      </c>
      <c r="I7" s="16"/>
      <c r="J7" s="13">
        <v>1</v>
      </c>
      <c r="K7" s="14" t="s">
        <v>133</v>
      </c>
      <c r="L7" s="14" t="s">
        <v>5</v>
      </c>
      <c r="M7" s="46">
        <v>114.6591</v>
      </c>
    </row>
    <row r="8" spans="1:16" ht="18" customHeight="1">
      <c r="A8" s="18">
        <v>2</v>
      </c>
      <c r="B8" s="2" t="s">
        <v>5</v>
      </c>
      <c r="C8" s="47">
        <v>313.61869999999999</v>
      </c>
      <c r="D8" s="16"/>
      <c r="E8" s="18">
        <v>2</v>
      </c>
      <c r="F8" s="2" t="s">
        <v>188</v>
      </c>
      <c r="G8" s="2" t="s">
        <v>11</v>
      </c>
      <c r="H8" s="47">
        <v>26.722049999999999</v>
      </c>
      <c r="I8" s="16"/>
      <c r="J8" s="18">
        <v>2</v>
      </c>
      <c r="K8" s="2" t="s">
        <v>181</v>
      </c>
      <c r="L8" s="2" t="s">
        <v>13</v>
      </c>
      <c r="M8" s="47">
        <v>111.79291666666667</v>
      </c>
    </row>
    <row r="9" spans="1:16" ht="18" customHeight="1">
      <c r="A9" s="18">
        <v>3</v>
      </c>
      <c r="B9" s="2" t="s">
        <v>11</v>
      </c>
      <c r="C9" s="47">
        <v>247.39044999999999</v>
      </c>
      <c r="D9" s="16"/>
      <c r="E9" s="18">
        <v>3</v>
      </c>
      <c r="F9" s="2" t="s">
        <v>207</v>
      </c>
      <c r="G9" s="2" t="s">
        <v>11</v>
      </c>
      <c r="H9" s="47">
        <v>26.2058</v>
      </c>
      <c r="I9" s="16"/>
      <c r="J9" s="18">
        <v>3</v>
      </c>
      <c r="K9" s="2" t="s">
        <v>158</v>
      </c>
      <c r="L9" s="2" t="s">
        <v>21</v>
      </c>
      <c r="M9" s="47">
        <v>105.48556666666667</v>
      </c>
    </row>
    <row r="10" spans="1:16" ht="18" customHeight="1">
      <c r="A10" s="18">
        <v>4</v>
      </c>
      <c r="B10" s="2" t="s">
        <v>8</v>
      </c>
      <c r="C10" s="47">
        <v>111.83578333333334</v>
      </c>
      <c r="D10" s="16"/>
      <c r="E10" s="18">
        <v>4</v>
      </c>
      <c r="F10" s="2" t="s">
        <v>343</v>
      </c>
      <c r="G10" s="2" t="s">
        <v>13</v>
      </c>
      <c r="H10" s="47">
        <v>25.274033333333332</v>
      </c>
      <c r="I10" s="16"/>
      <c r="J10" s="18">
        <v>4</v>
      </c>
      <c r="K10" s="2" t="s">
        <v>203</v>
      </c>
      <c r="L10" s="2" t="s">
        <v>13</v>
      </c>
      <c r="M10" s="47">
        <v>98.050433333333331</v>
      </c>
    </row>
    <row r="11" spans="1:16" ht="18" customHeight="1">
      <c r="A11" s="18">
        <v>5</v>
      </c>
      <c r="B11" s="2" t="s">
        <v>21</v>
      </c>
      <c r="C11" s="47">
        <v>105.71174999999999</v>
      </c>
      <c r="D11" s="16"/>
      <c r="E11" s="18">
        <v>5</v>
      </c>
      <c r="F11" s="2" t="s">
        <v>142</v>
      </c>
      <c r="G11" s="2" t="s">
        <v>5</v>
      </c>
      <c r="H11" s="47">
        <v>24.613416666666666</v>
      </c>
      <c r="I11" s="16"/>
      <c r="J11" s="18">
        <v>5</v>
      </c>
      <c r="K11" s="2" t="s">
        <v>143</v>
      </c>
      <c r="L11" s="2" t="s">
        <v>8</v>
      </c>
      <c r="M11" s="47">
        <v>86.818983333333335</v>
      </c>
      <c r="P11" s="21"/>
    </row>
    <row r="12" spans="1:16" ht="18" customHeight="1">
      <c r="A12" s="22">
        <v>6</v>
      </c>
      <c r="B12" s="3" t="s">
        <v>6</v>
      </c>
      <c r="C12" s="48">
        <v>73.428849999999997</v>
      </c>
      <c r="D12" s="16"/>
      <c r="E12" s="22">
        <v>6</v>
      </c>
      <c r="F12" s="3" t="s">
        <v>194</v>
      </c>
      <c r="G12" s="3" t="s">
        <v>5</v>
      </c>
      <c r="H12" s="48">
        <v>24.1189</v>
      </c>
      <c r="I12" s="16"/>
      <c r="J12" s="22">
        <v>6</v>
      </c>
      <c r="K12" s="3" t="s">
        <v>147</v>
      </c>
      <c r="L12" s="3" t="s">
        <v>5</v>
      </c>
      <c r="M12" s="48">
        <v>78.632266666666666</v>
      </c>
    </row>
    <row r="13" spans="1:16" ht="18" customHeight="1">
      <c r="A13" s="22">
        <v>7</v>
      </c>
      <c r="B13" s="3" t="s">
        <v>24</v>
      </c>
      <c r="C13" s="48">
        <v>62.198349999999998</v>
      </c>
      <c r="D13" s="16"/>
      <c r="E13" s="22">
        <v>7</v>
      </c>
      <c r="F13" s="3" t="s">
        <v>181</v>
      </c>
      <c r="G13" s="3" t="s">
        <v>13</v>
      </c>
      <c r="H13" s="48">
        <v>23.962566666666667</v>
      </c>
      <c r="I13" s="16"/>
      <c r="J13" s="22">
        <v>7</v>
      </c>
      <c r="K13" s="3" t="s">
        <v>258</v>
      </c>
      <c r="L13" s="3" t="s">
        <v>13</v>
      </c>
      <c r="M13" s="48">
        <v>55.613100000000003</v>
      </c>
    </row>
    <row r="14" spans="1:16" ht="18" customHeight="1">
      <c r="A14" s="22">
        <v>8</v>
      </c>
      <c r="B14" s="3" t="s">
        <v>44</v>
      </c>
      <c r="C14" s="48">
        <v>35.668399999999998</v>
      </c>
      <c r="D14" s="16"/>
      <c r="E14" s="22">
        <v>8</v>
      </c>
      <c r="F14" s="3" t="s">
        <v>223</v>
      </c>
      <c r="G14" s="3" t="s">
        <v>21</v>
      </c>
      <c r="H14" s="48">
        <v>22.33935</v>
      </c>
      <c r="I14" s="16"/>
      <c r="J14" s="22">
        <v>8</v>
      </c>
      <c r="K14" s="3" t="s">
        <v>153</v>
      </c>
      <c r="L14" s="3" t="s">
        <v>5</v>
      </c>
      <c r="M14" s="48">
        <v>52.935333333333332</v>
      </c>
    </row>
    <row r="15" spans="1:16" ht="18" customHeight="1">
      <c r="A15" s="22">
        <v>9</v>
      </c>
      <c r="B15" s="3" t="s">
        <v>16</v>
      </c>
      <c r="C15" s="48">
        <v>34.715516666666666</v>
      </c>
      <c r="D15" s="16"/>
      <c r="E15" s="22">
        <v>9</v>
      </c>
      <c r="F15" s="3" t="s">
        <v>138</v>
      </c>
      <c r="G15" s="3" t="s">
        <v>8</v>
      </c>
      <c r="H15" s="48">
        <v>21.108583333333332</v>
      </c>
      <c r="I15" s="16"/>
      <c r="J15" s="22">
        <v>9</v>
      </c>
      <c r="K15" s="3" t="s">
        <v>252</v>
      </c>
      <c r="L15" s="3" t="s">
        <v>13</v>
      </c>
      <c r="M15" s="48">
        <v>49.710366666666665</v>
      </c>
    </row>
    <row r="16" spans="1:16" ht="18" customHeight="1">
      <c r="A16" s="22">
        <v>10</v>
      </c>
      <c r="B16" s="3" t="s">
        <v>74</v>
      </c>
      <c r="C16" s="48">
        <v>32.133566666666667</v>
      </c>
      <c r="D16" s="16"/>
      <c r="E16" s="22">
        <v>10</v>
      </c>
      <c r="F16" s="3" t="s">
        <v>267</v>
      </c>
      <c r="G16" s="3" t="s">
        <v>11</v>
      </c>
      <c r="H16" s="48">
        <v>20.927016666666667</v>
      </c>
      <c r="I16" s="16"/>
      <c r="J16" s="22">
        <v>10</v>
      </c>
      <c r="K16" s="3" t="s">
        <v>163</v>
      </c>
      <c r="L16" s="3" t="s">
        <v>11</v>
      </c>
      <c r="M16" s="48">
        <v>44.230483333333332</v>
      </c>
    </row>
    <row r="17" spans="1:13" ht="18" customHeight="1">
      <c r="A17" s="25">
        <v>11</v>
      </c>
      <c r="B17" s="4" t="s">
        <v>20</v>
      </c>
      <c r="C17" s="49">
        <v>31.855116666666667</v>
      </c>
      <c r="D17" s="16"/>
      <c r="E17" s="25">
        <v>11</v>
      </c>
      <c r="F17" s="4" t="s">
        <v>344</v>
      </c>
      <c r="G17" s="4" t="s">
        <v>13</v>
      </c>
      <c r="H17" s="49">
        <v>20.821650000000002</v>
      </c>
      <c r="I17" s="16"/>
      <c r="J17" s="25">
        <v>11</v>
      </c>
      <c r="K17" s="4" t="s">
        <v>141</v>
      </c>
      <c r="L17" s="4" t="s">
        <v>6</v>
      </c>
      <c r="M17" s="49">
        <v>43.370899999999999</v>
      </c>
    </row>
    <row r="18" spans="1:13" ht="18" customHeight="1">
      <c r="A18" s="25">
        <v>12</v>
      </c>
      <c r="B18" s="4" t="s">
        <v>97</v>
      </c>
      <c r="C18" s="49">
        <v>23.691633333333332</v>
      </c>
      <c r="D18" s="16"/>
      <c r="E18" s="25">
        <v>12</v>
      </c>
      <c r="F18" s="4" t="s">
        <v>134</v>
      </c>
      <c r="G18" s="4" t="s">
        <v>5</v>
      </c>
      <c r="H18" s="49">
        <v>19.385616666666667</v>
      </c>
      <c r="I18" s="16"/>
      <c r="J18" s="25">
        <v>12</v>
      </c>
      <c r="K18" s="4" t="s">
        <v>199</v>
      </c>
      <c r="L18" s="4" t="s">
        <v>24</v>
      </c>
      <c r="M18" s="49">
        <v>42.788633333333337</v>
      </c>
    </row>
    <row r="19" spans="1:13" ht="18" customHeight="1">
      <c r="A19" s="25">
        <v>13</v>
      </c>
      <c r="B19" s="4" t="s">
        <v>47</v>
      </c>
      <c r="C19" s="49">
        <v>20.346466666666668</v>
      </c>
      <c r="D19" s="16"/>
      <c r="E19" s="25">
        <v>13</v>
      </c>
      <c r="F19" s="4" t="s">
        <v>133</v>
      </c>
      <c r="G19" s="4" t="s">
        <v>5</v>
      </c>
      <c r="H19" s="49">
        <v>19.034183333333335</v>
      </c>
      <c r="I19" s="16"/>
      <c r="J19" s="25">
        <v>13</v>
      </c>
      <c r="K19" s="4" t="s">
        <v>197</v>
      </c>
      <c r="L19" s="4" t="s">
        <v>11</v>
      </c>
      <c r="M19" s="49">
        <v>37.982750000000003</v>
      </c>
    </row>
    <row r="20" spans="1:13" ht="18" customHeight="1">
      <c r="A20" s="25">
        <v>14</v>
      </c>
      <c r="B20" s="4" t="s">
        <v>40</v>
      </c>
      <c r="C20" s="49">
        <v>17.275683333333333</v>
      </c>
      <c r="D20" s="16"/>
      <c r="E20" s="25">
        <v>14</v>
      </c>
      <c r="F20" s="4" t="s">
        <v>345</v>
      </c>
      <c r="G20" s="4" t="s">
        <v>13</v>
      </c>
      <c r="H20" s="49">
        <v>18.765683333333332</v>
      </c>
      <c r="I20" s="16"/>
      <c r="J20" s="25">
        <v>14</v>
      </c>
      <c r="K20" s="4" t="s">
        <v>179</v>
      </c>
      <c r="L20" s="4" t="s">
        <v>16</v>
      </c>
      <c r="M20" s="49">
        <v>34.715516666666666</v>
      </c>
    </row>
    <row r="21" spans="1:13" ht="18" customHeight="1">
      <c r="A21" s="25">
        <v>15</v>
      </c>
      <c r="B21" s="4" t="s">
        <v>9</v>
      </c>
      <c r="C21" s="49">
        <v>16.641783333333333</v>
      </c>
      <c r="D21" s="16"/>
      <c r="E21" s="25">
        <v>15</v>
      </c>
      <c r="F21" s="4" t="s">
        <v>136</v>
      </c>
      <c r="G21" s="4" t="s">
        <v>5</v>
      </c>
      <c r="H21" s="49">
        <v>17.665050000000001</v>
      </c>
      <c r="I21" s="16"/>
      <c r="J21" s="25">
        <v>15</v>
      </c>
      <c r="K21" s="4" t="s">
        <v>191</v>
      </c>
      <c r="L21" s="4" t="s">
        <v>11</v>
      </c>
      <c r="M21" s="49">
        <v>32.388649999999998</v>
      </c>
    </row>
    <row r="22" spans="1:13" ht="18" customHeight="1">
      <c r="A22" s="28">
        <v>16</v>
      </c>
      <c r="B22" s="5" t="s">
        <v>23</v>
      </c>
      <c r="C22" s="50">
        <v>16.298566666666666</v>
      </c>
      <c r="D22" s="16"/>
      <c r="E22" s="28">
        <v>16</v>
      </c>
      <c r="F22" s="5" t="s">
        <v>280</v>
      </c>
      <c r="G22" s="5" t="s">
        <v>13</v>
      </c>
      <c r="H22" s="50">
        <v>16.5671</v>
      </c>
      <c r="I22" s="16"/>
      <c r="J22" s="28">
        <v>16</v>
      </c>
      <c r="K22" s="5" t="s">
        <v>338</v>
      </c>
      <c r="L22" s="5" t="s">
        <v>74</v>
      </c>
      <c r="M22" s="50">
        <v>32.133566666666667</v>
      </c>
    </row>
    <row r="23" spans="1:13" ht="18" customHeight="1">
      <c r="A23" s="28">
        <v>17</v>
      </c>
      <c r="B23" s="5" t="s">
        <v>26</v>
      </c>
      <c r="C23" s="50">
        <v>16.226666666666667</v>
      </c>
      <c r="D23" s="16"/>
      <c r="E23" s="28">
        <v>17</v>
      </c>
      <c r="F23" s="5" t="s">
        <v>346</v>
      </c>
      <c r="G23" s="5" t="s">
        <v>13</v>
      </c>
      <c r="H23" s="50">
        <v>16.275666666666666</v>
      </c>
      <c r="I23" s="16"/>
      <c r="J23" s="28">
        <v>17</v>
      </c>
      <c r="K23" s="5" t="s">
        <v>229</v>
      </c>
      <c r="L23" s="5" t="s">
        <v>11</v>
      </c>
      <c r="M23" s="50">
        <v>29.288350000000001</v>
      </c>
    </row>
    <row r="24" spans="1:13" ht="18" customHeight="1">
      <c r="A24" s="28">
        <v>18</v>
      </c>
      <c r="B24" s="5" t="s">
        <v>37</v>
      </c>
      <c r="C24" s="50">
        <v>16.071183333333334</v>
      </c>
      <c r="D24" s="16"/>
      <c r="E24" s="28">
        <v>18</v>
      </c>
      <c r="F24" s="5" t="s">
        <v>347</v>
      </c>
      <c r="G24" s="5" t="s">
        <v>11</v>
      </c>
      <c r="H24" s="50">
        <v>16.027633333333334</v>
      </c>
      <c r="I24" s="16"/>
      <c r="J24" s="28">
        <v>18</v>
      </c>
      <c r="K24" s="5" t="s">
        <v>212</v>
      </c>
      <c r="L24" s="5" t="s">
        <v>9</v>
      </c>
      <c r="M24" s="50">
        <v>28.618533333333332</v>
      </c>
    </row>
    <row r="25" spans="1:13" ht="18" customHeight="1">
      <c r="A25" s="31">
        <v>19</v>
      </c>
      <c r="B25" s="32" t="s">
        <v>19</v>
      </c>
      <c r="C25" s="51">
        <v>15.6366</v>
      </c>
      <c r="D25" s="16"/>
      <c r="E25" s="31">
        <v>19</v>
      </c>
      <c r="F25" s="32" t="s">
        <v>239</v>
      </c>
      <c r="G25" s="32" t="s">
        <v>5</v>
      </c>
      <c r="H25" s="51">
        <v>15.90405</v>
      </c>
      <c r="I25" s="16"/>
      <c r="J25" s="31">
        <v>19</v>
      </c>
      <c r="K25" s="32" t="s">
        <v>145</v>
      </c>
      <c r="L25" s="32" t="s">
        <v>5</v>
      </c>
      <c r="M25" s="51">
        <v>28.209583333333335</v>
      </c>
    </row>
    <row r="26" spans="1:13" ht="18" customHeight="1">
      <c r="H26" s="52"/>
      <c r="M26" s="52"/>
    </row>
    <row r="27" spans="1:13" ht="18" customHeight="1">
      <c r="H27" s="52"/>
      <c r="M27" s="52"/>
    </row>
    <row r="28" spans="1:13" ht="18" customHeight="1"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2007-3DBE-964B-A12A-49C62E463CF1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E29" sqref="E29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402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11</v>
      </c>
      <c r="C7" s="46">
        <v>293.97761666666668</v>
      </c>
      <c r="D7" s="16"/>
      <c r="E7" s="13">
        <v>1</v>
      </c>
      <c r="F7" s="14" t="s">
        <v>146</v>
      </c>
      <c r="G7" s="14" t="s">
        <v>11</v>
      </c>
      <c r="H7" s="46">
        <v>34.33625</v>
      </c>
      <c r="I7" s="16"/>
      <c r="J7" s="13">
        <v>1</v>
      </c>
      <c r="K7" s="14" t="s">
        <v>163</v>
      </c>
      <c r="L7" s="14" t="s">
        <v>11</v>
      </c>
      <c r="M7" s="46">
        <v>147.39744999999999</v>
      </c>
    </row>
    <row r="8" spans="1:16" ht="18" customHeight="1">
      <c r="A8" s="18">
        <v>2</v>
      </c>
      <c r="B8" s="2" t="s">
        <v>12</v>
      </c>
      <c r="C8" s="47">
        <v>162.43145000000001</v>
      </c>
      <c r="D8" s="16"/>
      <c r="E8" s="18">
        <v>2</v>
      </c>
      <c r="F8" s="2" t="s">
        <v>403</v>
      </c>
      <c r="G8" s="2" t="s">
        <v>79</v>
      </c>
      <c r="H8" s="47">
        <v>30.079783333333335</v>
      </c>
      <c r="I8" s="16"/>
      <c r="J8" s="18">
        <v>2</v>
      </c>
      <c r="K8" s="2" t="s">
        <v>141</v>
      </c>
      <c r="L8" s="2" t="s">
        <v>6</v>
      </c>
      <c r="M8" s="47">
        <v>94.280833333333334</v>
      </c>
    </row>
    <row r="9" spans="1:16" ht="18" customHeight="1">
      <c r="A9" s="18">
        <v>3</v>
      </c>
      <c r="B9" s="2" t="s">
        <v>5</v>
      </c>
      <c r="C9" s="47">
        <v>96.719149999999999</v>
      </c>
      <c r="D9" s="16"/>
      <c r="E9" s="18">
        <v>3</v>
      </c>
      <c r="F9" s="2" t="s">
        <v>190</v>
      </c>
      <c r="G9" s="2" t="s">
        <v>12</v>
      </c>
      <c r="H9" s="47">
        <v>27.690433333333335</v>
      </c>
      <c r="I9" s="16"/>
      <c r="J9" s="18">
        <v>3</v>
      </c>
      <c r="K9" s="2" t="s">
        <v>197</v>
      </c>
      <c r="L9" s="2" t="s">
        <v>11</v>
      </c>
      <c r="M9" s="47">
        <v>86.10293333333334</v>
      </c>
    </row>
    <row r="10" spans="1:16" ht="18" customHeight="1">
      <c r="A10" s="18">
        <v>4</v>
      </c>
      <c r="B10" s="2" t="s">
        <v>6</v>
      </c>
      <c r="C10" s="47">
        <v>94.33056666666667</v>
      </c>
      <c r="D10" s="16"/>
      <c r="E10" s="18">
        <v>4</v>
      </c>
      <c r="F10" s="2" t="s">
        <v>229</v>
      </c>
      <c r="G10" s="2" t="s">
        <v>11</v>
      </c>
      <c r="H10" s="47">
        <v>23.757249999999999</v>
      </c>
      <c r="I10" s="16"/>
      <c r="J10" s="18">
        <v>4</v>
      </c>
      <c r="K10" s="2" t="s">
        <v>185</v>
      </c>
      <c r="L10" s="2" t="s">
        <v>12</v>
      </c>
      <c r="M10" s="47">
        <v>61.745466666666665</v>
      </c>
    </row>
    <row r="11" spans="1:16" ht="18" customHeight="1">
      <c r="A11" s="18">
        <v>5</v>
      </c>
      <c r="B11" s="2" t="s">
        <v>46</v>
      </c>
      <c r="C11" s="47">
        <v>62.571649999999998</v>
      </c>
      <c r="D11" s="16"/>
      <c r="E11" s="18">
        <v>5</v>
      </c>
      <c r="F11" s="2" t="s">
        <v>207</v>
      </c>
      <c r="G11" s="2" t="s">
        <v>11</v>
      </c>
      <c r="H11" s="47">
        <v>22.205349999999999</v>
      </c>
      <c r="I11" s="16"/>
      <c r="J11" s="18">
        <v>5</v>
      </c>
      <c r="K11" s="2" t="s">
        <v>268</v>
      </c>
      <c r="L11" s="2" t="s">
        <v>46</v>
      </c>
      <c r="M11" s="47">
        <v>51.616999999999997</v>
      </c>
      <c r="P11" s="21"/>
    </row>
    <row r="12" spans="1:16" ht="18" customHeight="1">
      <c r="A12" s="22">
        <v>6</v>
      </c>
      <c r="B12" s="3" t="s">
        <v>32</v>
      </c>
      <c r="C12" s="48">
        <v>41.771833333333333</v>
      </c>
      <c r="D12" s="16"/>
      <c r="E12" s="22">
        <v>6</v>
      </c>
      <c r="F12" s="3" t="s">
        <v>404</v>
      </c>
      <c r="G12" s="3" t="s">
        <v>11</v>
      </c>
      <c r="H12" s="48">
        <v>18.772950000000002</v>
      </c>
      <c r="I12" s="16"/>
      <c r="J12" s="22">
        <v>6</v>
      </c>
      <c r="K12" s="3" t="s">
        <v>272</v>
      </c>
      <c r="L12" s="3" t="s">
        <v>12</v>
      </c>
      <c r="M12" s="48">
        <v>49.090699999999998</v>
      </c>
    </row>
    <row r="13" spans="1:16" ht="18" customHeight="1">
      <c r="A13" s="22">
        <v>7</v>
      </c>
      <c r="B13" s="3" t="s">
        <v>79</v>
      </c>
      <c r="C13" s="48">
        <v>30.079783333333335</v>
      </c>
      <c r="D13" s="16"/>
      <c r="E13" s="22">
        <v>7</v>
      </c>
      <c r="F13" s="3" t="s">
        <v>184</v>
      </c>
      <c r="G13" s="3" t="s">
        <v>12</v>
      </c>
      <c r="H13" s="48">
        <v>18.563766666666666</v>
      </c>
      <c r="I13" s="16"/>
      <c r="J13" s="22">
        <v>7</v>
      </c>
      <c r="K13" s="3" t="s">
        <v>133</v>
      </c>
      <c r="L13" s="3" t="s">
        <v>5</v>
      </c>
      <c r="M13" s="48">
        <v>46.820633333333333</v>
      </c>
    </row>
    <row r="14" spans="1:16" ht="18" customHeight="1">
      <c r="A14" s="22">
        <v>8</v>
      </c>
      <c r="B14" s="3" t="s">
        <v>91</v>
      </c>
      <c r="C14" s="48">
        <v>24.988983333333334</v>
      </c>
      <c r="D14" s="16"/>
      <c r="E14" s="22">
        <v>8</v>
      </c>
      <c r="F14" s="3" t="s">
        <v>405</v>
      </c>
      <c r="G14" s="3" t="s">
        <v>11</v>
      </c>
      <c r="H14" s="48">
        <v>18.148433333333333</v>
      </c>
      <c r="I14" s="16"/>
      <c r="J14" s="22">
        <v>8</v>
      </c>
      <c r="K14" s="3" t="s">
        <v>214</v>
      </c>
      <c r="L14" s="3" t="s">
        <v>32</v>
      </c>
      <c r="M14" s="48">
        <v>41.771833333333333</v>
      </c>
    </row>
    <row r="15" spans="1:16" ht="18" customHeight="1">
      <c r="A15" s="22">
        <v>9</v>
      </c>
      <c r="B15" s="3" t="s">
        <v>24</v>
      </c>
      <c r="C15" s="48">
        <v>19.999949999999998</v>
      </c>
      <c r="D15" s="16"/>
      <c r="E15" s="22">
        <v>9</v>
      </c>
      <c r="F15" s="3" t="s">
        <v>406</v>
      </c>
      <c r="G15" s="3" t="s">
        <v>11</v>
      </c>
      <c r="H15" s="48">
        <v>18.063400000000001</v>
      </c>
      <c r="I15" s="16"/>
      <c r="J15" s="22">
        <v>9</v>
      </c>
      <c r="K15" s="3" t="s">
        <v>191</v>
      </c>
      <c r="L15" s="3" t="s">
        <v>11</v>
      </c>
      <c r="M15" s="48">
        <v>36.421100000000003</v>
      </c>
    </row>
    <row r="16" spans="1:16" ht="18" customHeight="1">
      <c r="A16" s="22">
        <v>10</v>
      </c>
      <c r="B16" s="3" t="s">
        <v>105</v>
      </c>
      <c r="C16" s="48">
        <v>18.686483333333332</v>
      </c>
      <c r="D16" s="16"/>
      <c r="E16" s="22">
        <v>10</v>
      </c>
      <c r="F16" s="3" t="s">
        <v>234</v>
      </c>
      <c r="G16" s="3" t="s">
        <v>6</v>
      </c>
      <c r="H16" s="48">
        <v>17.706</v>
      </c>
      <c r="I16" s="16"/>
      <c r="J16" s="22">
        <v>10</v>
      </c>
      <c r="K16" s="3" t="s">
        <v>407</v>
      </c>
      <c r="L16" s="3" t="s">
        <v>79</v>
      </c>
      <c r="M16" s="48">
        <v>30.079783333333335</v>
      </c>
    </row>
    <row r="17" spans="1:13" ht="18" customHeight="1">
      <c r="A17" s="25">
        <v>11</v>
      </c>
      <c r="B17" s="4" t="s">
        <v>99</v>
      </c>
      <c r="C17" s="49">
        <v>17.080383333333334</v>
      </c>
      <c r="D17" s="16"/>
      <c r="E17" s="25">
        <v>11</v>
      </c>
      <c r="F17" s="4" t="s">
        <v>408</v>
      </c>
      <c r="G17" s="4" t="s">
        <v>11</v>
      </c>
      <c r="H17" s="49">
        <v>16.382549999999998</v>
      </c>
      <c r="I17" s="16"/>
      <c r="J17" s="25">
        <v>11</v>
      </c>
      <c r="K17" s="4" t="s">
        <v>145</v>
      </c>
      <c r="L17" s="4" t="s">
        <v>5</v>
      </c>
      <c r="M17" s="49">
        <v>25.367283333333333</v>
      </c>
    </row>
    <row r="18" spans="1:13" ht="18" customHeight="1">
      <c r="A18" s="25">
        <v>12</v>
      </c>
      <c r="B18" s="4" t="s">
        <v>33</v>
      </c>
      <c r="C18" s="49">
        <v>16.750466666666668</v>
      </c>
      <c r="D18" s="16"/>
      <c r="E18" s="25">
        <v>12</v>
      </c>
      <c r="F18" s="4" t="s">
        <v>409</v>
      </c>
      <c r="G18" s="4" t="s">
        <v>105</v>
      </c>
      <c r="H18" s="49">
        <v>14.9862</v>
      </c>
      <c r="I18" s="16"/>
      <c r="J18" s="25">
        <v>12</v>
      </c>
      <c r="K18" s="4" t="s">
        <v>184</v>
      </c>
      <c r="L18" s="4" t="s">
        <v>12</v>
      </c>
      <c r="M18" s="49">
        <v>18.563766666666666</v>
      </c>
    </row>
    <row r="19" spans="1:13" ht="18" customHeight="1">
      <c r="A19" s="25">
        <v>13</v>
      </c>
      <c r="B19" s="4" t="s">
        <v>37</v>
      </c>
      <c r="C19" s="49">
        <v>15.2097</v>
      </c>
      <c r="D19" s="16"/>
      <c r="E19" s="25">
        <v>13</v>
      </c>
      <c r="F19" s="4" t="s">
        <v>188</v>
      </c>
      <c r="G19" s="4" t="s">
        <v>11</v>
      </c>
      <c r="H19" s="49">
        <v>14.865416666666667</v>
      </c>
      <c r="I19" s="16"/>
      <c r="J19" s="25">
        <v>13</v>
      </c>
      <c r="K19" s="4" t="s">
        <v>153</v>
      </c>
      <c r="L19" s="4" t="s">
        <v>5</v>
      </c>
      <c r="M19" s="49">
        <v>17.970633333333332</v>
      </c>
    </row>
    <row r="20" spans="1:13" ht="18" customHeight="1">
      <c r="A20" s="25">
        <v>14</v>
      </c>
      <c r="B20" s="4" t="s">
        <v>116</v>
      </c>
      <c r="C20" s="49">
        <v>14.196616666666667</v>
      </c>
      <c r="D20" s="16"/>
      <c r="E20" s="25">
        <v>14</v>
      </c>
      <c r="F20" s="4" t="s">
        <v>410</v>
      </c>
      <c r="G20" s="4" t="s">
        <v>11</v>
      </c>
      <c r="H20" s="49">
        <v>14.446899999999999</v>
      </c>
      <c r="I20" s="16"/>
      <c r="J20" s="25">
        <v>14</v>
      </c>
      <c r="K20" s="4" t="s">
        <v>409</v>
      </c>
      <c r="L20" s="4" t="s">
        <v>105</v>
      </c>
      <c r="M20" s="49">
        <v>14.9862</v>
      </c>
    </row>
    <row r="21" spans="1:13" ht="18" customHeight="1">
      <c r="A21" s="25">
        <v>15</v>
      </c>
      <c r="B21" s="4" t="s">
        <v>117</v>
      </c>
      <c r="C21" s="49">
        <v>14.194266666666667</v>
      </c>
      <c r="D21" s="16"/>
      <c r="E21" s="25">
        <v>15</v>
      </c>
      <c r="F21" s="4" t="s">
        <v>411</v>
      </c>
      <c r="G21" s="4" t="s">
        <v>11</v>
      </c>
      <c r="H21" s="49">
        <v>14.008433333333333</v>
      </c>
      <c r="I21" s="16"/>
      <c r="J21" s="25">
        <v>15</v>
      </c>
      <c r="K21" s="4" t="s">
        <v>220</v>
      </c>
      <c r="L21" s="4" t="s">
        <v>33</v>
      </c>
      <c r="M21" s="49">
        <v>14.651416666666666</v>
      </c>
    </row>
    <row r="22" spans="1:13" ht="18" customHeight="1">
      <c r="A22" s="28">
        <v>16</v>
      </c>
      <c r="B22" s="5" t="s">
        <v>118</v>
      </c>
      <c r="C22" s="50">
        <v>14.127116666666666</v>
      </c>
      <c r="D22" s="16"/>
      <c r="E22" s="28">
        <v>16</v>
      </c>
      <c r="F22" s="5" t="s">
        <v>267</v>
      </c>
      <c r="G22" s="5" t="s">
        <v>11</v>
      </c>
      <c r="H22" s="50">
        <v>14.007250000000001</v>
      </c>
      <c r="I22" s="16"/>
      <c r="J22" s="28">
        <v>16</v>
      </c>
      <c r="K22" s="5" t="s">
        <v>412</v>
      </c>
      <c r="L22" s="5" t="s">
        <v>121</v>
      </c>
      <c r="M22" s="50">
        <v>13.166700000000001</v>
      </c>
    </row>
    <row r="23" spans="1:13" ht="18" customHeight="1">
      <c r="A23" s="28">
        <v>17</v>
      </c>
      <c r="B23" s="5" t="s">
        <v>121</v>
      </c>
      <c r="C23" s="50">
        <v>13.166700000000001</v>
      </c>
      <c r="D23" s="16"/>
      <c r="E23" s="28">
        <v>17</v>
      </c>
      <c r="F23" s="5" t="s">
        <v>413</v>
      </c>
      <c r="G23" s="5" t="s">
        <v>11</v>
      </c>
      <c r="H23" s="50">
        <v>13.38565</v>
      </c>
      <c r="I23" s="16"/>
      <c r="J23" s="28">
        <v>17</v>
      </c>
      <c r="K23" s="5" t="s">
        <v>414</v>
      </c>
      <c r="L23" s="5" t="s">
        <v>91</v>
      </c>
      <c r="M23" s="50">
        <v>12.935083333333333</v>
      </c>
    </row>
    <row r="24" spans="1:13" ht="18" customHeight="1">
      <c r="A24" s="28">
        <v>18</v>
      </c>
      <c r="B24" s="5" t="s">
        <v>123</v>
      </c>
      <c r="C24" s="50">
        <v>11.1097</v>
      </c>
      <c r="D24" s="16"/>
      <c r="E24" s="28">
        <v>18</v>
      </c>
      <c r="F24" s="5" t="s">
        <v>415</v>
      </c>
      <c r="G24" s="5" t="s">
        <v>11</v>
      </c>
      <c r="H24" s="50">
        <v>13.260866666666667</v>
      </c>
      <c r="I24" s="16"/>
      <c r="J24" s="28">
        <v>18</v>
      </c>
      <c r="K24" s="5" t="s">
        <v>416</v>
      </c>
      <c r="L24" s="5" t="s">
        <v>99</v>
      </c>
      <c r="M24" s="50">
        <v>12.713283333333333</v>
      </c>
    </row>
    <row r="25" spans="1:13" ht="18" customHeight="1">
      <c r="A25" s="28">
        <v>19</v>
      </c>
      <c r="B25" s="5" t="s">
        <v>124</v>
      </c>
      <c r="C25" s="50">
        <v>10.555133333333334</v>
      </c>
      <c r="D25" s="16"/>
      <c r="E25" s="28">
        <v>19</v>
      </c>
      <c r="F25" s="5" t="s">
        <v>412</v>
      </c>
      <c r="G25" s="5" t="s">
        <v>121</v>
      </c>
      <c r="H25" s="50">
        <v>13.166700000000001</v>
      </c>
      <c r="I25" s="16"/>
      <c r="J25" s="28">
        <v>19</v>
      </c>
      <c r="K25" s="5" t="s">
        <v>417</v>
      </c>
      <c r="L25" s="5" t="s">
        <v>12</v>
      </c>
      <c r="M25" s="50">
        <v>11.603316666666666</v>
      </c>
    </row>
    <row r="26" spans="1:13" ht="18" customHeight="1">
      <c r="A26" s="31">
        <v>20</v>
      </c>
      <c r="B26" s="32" t="s">
        <v>125</v>
      </c>
      <c r="C26" s="51">
        <v>10.5169</v>
      </c>
      <c r="D26" s="16"/>
      <c r="E26" s="31">
        <v>20</v>
      </c>
      <c r="F26" s="32" t="s">
        <v>418</v>
      </c>
      <c r="G26" s="32" t="s">
        <v>91</v>
      </c>
      <c r="H26" s="51">
        <v>12.935083333333333</v>
      </c>
      <c r="I26" s="16"/>
      <c r="J26" s="31">
        <v>20</v>
      </c>
      <c r="K26" s="32" t="s">
        <v>419</v>
      </c>
      <c r="L26" s="32" t="s">
        <v>46</v>
      </c>
      <c r="M26" s="51">
        <v>10.932966666666667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154A-6CC7-844A-A29C-6C9B36E0A1A6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448.90249999999997</v>
      </c>
      <c r="D7" s="16"/>
      <c r="E7" s="13">
        <v>1</v>
      </c>
      <c r="F7" s="14" t="s">
        <v>184</v>
      </c>
      <c r="G7" s="14" t="s">
        <v>12</v>
      </c>
      <c r="H7" s="46">
        <v>27.993083333333335</v>
      </c>
      <c r="I7" s="16"/>
      <c r="J7" s="13">
        <v>1</v>
      </c>
      <c r="K7" s="14" t="s">
        <v>12</v>
      </c>
      <c r="L7" s="14" t="s">
        <v>12</v>
      </c>
      <c r="M7" s="46">
        <v>200.51018333333334</v>
      </c>
    </row>
    <row r="8" spans="1:16" ht="18" customHeight="1">
      <c r="A8" s="18">
        <v>2</v>
      </c>
      <c r="B8" s="2" t="s">
        <v>12</v>
      </c>
      <c r="C8" s="47">
        <v>343.12400000000002</v>
      </c>
      <c r="D8" s="16"/>
      <c r="E8" s="18">
        <v>2</v>
      </c>
      <c r="F8" s="2" t="s">
        <v>349</v>
      </c>
      <c r="G8" s="2" t="s">
        <v>12</v>
      </c>
      <c r="H8" s="47">
        <v>27.813683333333334</v>
      </c>
      <c r="I8" s="16"/>
      <c r="J8" s="18">
        <v>2</v>
      </c>
      <c r="K8" s="2" t="s">
        <v>137</v>
      </c>
      <c r="L8" s="2" t="s">
        <v>6</v>
      </c>
      <c r="M8" s="47">
        <v>181.9545</v>
      </c>
    </row>
    <row r="9" spans="1:16" ht="18" customHeight="1">
      <c r="A9" s="18">
        <v>3</v>
      </c>
      <c r="B9" s="2" t="s">
        <v>16</v>
      </c>
      <c r="C9" s="47">
        <v>264.59176666666667</v>
      </c>
      <c r="D9" s="16"/>
      <c r="E9" s="18">
        <v>3</v>
      </c>
      <c r="F9" s="2" t="s">
        <v>300</v>
      </c>
      <c r="G9" s="2" t="s">
        <v>12</v>
      </c>
      <c r="H9" s="47">
        <v>25.788283333333332</v>
      </c>
      <c r="I9" s="16"/>
      <c r="J9" s="18">
        <v>3</v>
      </c>
      <c r="K9" s="2" t="s">
        <v>175</v>
      </c>
      <c r="L9" s="2" t="s">
        <v>16</v>
      </c>
      <c r="M9" s="47">
        <v>147.28364999999999</v>
      </c>
    </row>
    <row r="10" spans="1:16" ht="18" customHeight="1">
      <c r="A10" s="18">
        <v>4</v>
      </c>
      <c r="B10" s="2" t="s">
        <v>19</v>
      </c>
      <c r="C10" s="47">
        <v>202.22796666666667</v>
      </c>
      <c r="D10" s="16"/>
      <c r="E10" s="18">
        <v>4</v>
      </c>
      <c r="F10" s="2" t="s">
        <v>350</v>
      </c>
      <c r="G10" s="2" t="s">
        <v>12</v>
      </c>
      <c r="H10" s="47">
        <v>24.539933333333334</v>
      </c>
      <c r="I10" s="16"/>
      <c r="J10" s="18">
        <v>4</v>
      </c>
      <c r="K10" s="2" t="s">
        <v>151</v>
      </c>
      <c r="L10" s="2" t="s">
        <v>6</v>
      </c>
      <c r="M10" s="47">
        <v>114.72615</v>
      </c>
    </row>
    <row r="11" spans="1:16" ht="18" customHeight="1">
      <c r="A11" s="18">
        <v>5</v>
      </c>
      <c r="B11" s="2" t="s">
        <v>10</v>
      </c>
      <c r="C11" s="47">
        <v>89.40958333333333</v>
      </c>
      <c r="D11" s="16"/>
      <c r="E11" s="18">
        <v>5</v>
      </c>
      <c r="F11" s="2" t="s">
        <v>351</v>
      </c>
      <c r="G11" s="2" t="s">
        <v>16</v>
      </c>
      <c r="H11" s="47">
        <v>23.936266666666668</v>
      </c>
      <c r="I11" s="16"/>
      <c r="J11" s="18">
        <v>5</v>
      </c>
      <c r="K11" s="2" t="s">
        <v>210</v>
      </c>
      <c r="L11" s="2" t="s">
        <v>19</v>
      </c>
      <c r="M11" s="47">
        <v>88.843866666666671</v>
      </c>
      <c r="P11" s="21"/>
    </row>
    <row r="12" spans="1:16" ht="18" customHeight="1">
      <c r="A12" s="22">
        <v>6</v>
      </c>
      <c r="B12" s="3" t="s">
        <v>5</v>
      </c>
      <c r="C12" s="48">
        <v>79.266616666666664</v>
      </c>
      <c r="D12" s="16"/>
      <c r="E12" s="22">
        <v>6</v>
      </c>
      <c r="F12" s="3" t="s">
        <v>352</v>
      </c>
      <c r="G12" s="3" t="s">
        <v>12</v>
      </c>
      <c r="H12" s="48">
        <v>23.3842</v>
      </c>
      <c r="I12" s="16"/>
      <c r="J12" s="22">
        <v>6</v>
      </c>
      <c r="K12" s="3" t="s">
        <v>167</v>
      </c>
      <c r="L12" s="3" t="s">
        <v>10</v>
      </c>
      <c r="M12" s="48">
        <v>73.405833333333334</v>
      </c>
    </row>
    <row r="13" spans="1:16" ht="18" customHeight="1">
      <c r="A13" s="22">
        <v>7</v>
      </c>
      <c r="B13" s="3" t="s">
        <v>45</v>
      </c>
      <c r="C13" s="48">
        <v>67.859933333333331</v>
      </c>
      <c r="D13" s="16"/>
      <c r="E13" s="22">
        <v>7</v>
      </c>
      <c r="F13" s="3" t="s">
        <v>276</v>
      </c>
      <c r="G13" s="3" t="s">
        <v>12</v>
      </c>
      <c r="H13" s="48">
        <v>22.090733333333333</v>
      </c>
      <c r="I13" s="16"/>
      <c r="J13" s="22">
        <v>7</v>
      </c>
      <c r="K13" s="3" t="s">
        <v>169</v>
      </c>
      <c r="L13" s="3" t="s">
        <v>6</v>
      </c>
      <c r="M13" s="48">
        <v>67.787666666666667</v>
      </c>
    </row>
    <row r="14" spans="1:16" ht="18" customHeight="1">
      <c r="A14" s="22">
        <v>8</v>
      </c>
      <c r="B14" s="3" t="s">
        <v>25</v>
      </c>
      <c r="C14" s="48">
        <v>66.635633333333331</v>
      </c>
      <c r="D14" s="16"/>
      <c r="E14" s="22">
        <v>8</v>
      </c>
      <c r="F14" s="3" t="s">
        <v>274</v>
      </c>
      <c r="G14" s="3" t="s">
        <v>12</v>
      </c>
      <c r="H14" s="48">
        <v>21.223283333333335</v>
      </c>
      <c r="I14" s="16"/>
      <c r="J14" s="22">
        <v>8</v>
      </c>
      <c r="K14" s="3" t="s">
        <v>185</v>
      </c>
      <c r="L14" s="3" t="s">
        <v>12</v>
      </c>
      <c r="M14" s="48">
        <v>61.03561666666667</v>
      </c>
    </row>
    <row r="15" spans="1:16" ht="18" customHeight="1">
      <c r="A15" s="22">
        <v>9</v>
      </c>
      <c r="B15" s="3" t="s">
        <v>32</v>
      </c>
      <c r="C15" s="48">
        <v>59.684199999999997</v>
      </c>
      <c r="D15" s="16"/>
      <c r="E15" s="22">
        <v>9</v>
      </c>
      <c r="F15" s="3" t="s">
        <v>144</v>
      </c>
      <c r="G15" s="3" t="s">
        <v>6</v>
      </c>
      <c r="H15" s="48">
        <v>20.945366666666665</v>
      </c>
      <c r="I15" s="16"/>
      <c r="J15" s="22">
        <v>9</v>
      </c>
      <c r="K15" s="3" t="s">
        <v>179</v>
      </c>
      <c r="L15" s="3" t="s">
        <v>16</v>
      </c>
      <c r="M15" s="48">
        <v>58.271483333333336</v>
      </c>
    </row>
    <row r="16" spans="1:16" ht="18" customHeight="1">
      <c r="A16" s="22">
        <v>10</v>
      </c>
      <c r="B16" s="3" t="s">
        <v>43</v>
      </c>
      <c r="C16" s="48">
        <v>58.045483333333337</v>
      </c>
      <c r="D16" s="16"/>
      <c r="E16" s="22">
        <v>10</v>
      </c>
      <c r="F16" s="3" t="s">
        <v>353</v>
      </c>
      <c r="G16" s="3" t="s">
        <v>16</v>
      </c>
      <c r="H16" s="48">
        <v>19.428683333333332</v>
      </c>
      <c r="I16" s="16"/>
      <c r="J16" s="22">
        <v>10</v>
      </c>
      <c r="K16" s="3" t="s">
        <v>214</v>
      </c>
      <c r="L16" s="3" t="s">
        <v>32</v>
      </c>
      <c r="M16" s="48">
        <v>49.621783333333333</v>
      </c>
    </row>
    <row r="17" spans="1:13" ht="18" customHeight="1">
      <c r="A17" s="25">
        <v>11</v>
      </c>
      <c r="B17" s="4" t="s">
        <v>8</v>
      </c>
      <c r="C17" s="49">
        <v>54.751866666666665</v>
      </c>
      <c r="D17" s="16"/>
      <c r="E17" s="25">
        <v>11</v>
      </c>
      <c r="F17" s="4" t="s">
        <v>311</v>
      </c>
      <c r="G17" s="4" t="s">
        <v>32</v>
      </c>
      <c r="H17" s="49">
        <v>18.937816666666667</v>
      </c>
      <c r="I17" s="16"/>
      <c r="J17" s="25">
        <v>11</v>
      </c>
      <c r="K17" s="4" t="s">
        <v>141</v>
      </c>
      <c r="L17" s="4" t="s">
        <v>6</v>
      </c>
      <c r="M17" s="49">
        <v>46.208016666666666</v>
      </c>
    </row>
    <row r="18" spans="1:13" ht="18" customHeight="1">
      <c r="A18" s="25">
        <v>12</v>
      </c>
      <c r="B18" s="4" t="s">
        <v>68</v>
      </c>
      <c r="C18" s="49">
        <v>34.677283333333335</v>
      </c>
      <c r="D18" s="16"/>
      <c r="E18" s="25">
        <v>12</v>
      </c>
      <c r="F18" s="4" t="s">
        <v>354</v>
      </c>
      <c r="G18" s="4" t="s">
        <v>12</v>
      </c>
      <c r="H18" s="49">
        <v>18.905750000000001</v>
      </c>
      <c r="I18" s="16"/>
      <c r="J18" s="25">
        <v>12</v>
      </c>
      <c r="K18" s="4" t="s">
        <v>272</v>
      </c>
      <c r="L18" s="4" t="s">
        <v>12</v>
      </c>
      <c r="M18" s="49">
        <v>38.555500000000002</v>
      </c>
    </row>
    <row r="19" spans="1:13" ht="18" customHeight="1">
      <c r="A19" s="25">
        <v>13</v>
      </c>
      <c r="B19" s="4" t="s">
        <v>64</v>
      </c>
      <c r="C19" s="49">
        <v>33.108816666666669</v>
      </c>
      <c r="D19" s="16"/>
      <c r="E19" s="25">
        <v>13</v>
      </c>
      <c r="F19" s="4" t="s">
        <v>355</v>
      </c>
      <c r="G19" s="4" t="s">
        <v>16</v>
      </c>
      <c r="H19" s="49">
        <v>18.556799999999999</v>
      </c>
      <c r="I19" s="16"/>
      <c r="J19" s="25">
        <v>13</v>
      </c>
      <c r="K19" s="4" t="s">
        <v>133</v>
      </c>
      <c r="L19" s="4" t="s">
        <v>5</v>
      </c>
      <c r="M19" s="49">
        <v>38.547416666666663</v>
      </c>
    </row>
    <row r="20" spans="1:13" ht="18" customHeight="1">
      <c r="A20" s="25">
        <v>14</v>
      </c>
      <c r="B20" s="4" t="s">
        <v>73</v>
      </c>
      <c r="C20" s="49">
        <v>32.185499999999998</v>
      </c>
      <c r="D20" s="16"/>
      <c r="E20" s="25">
        <v>14</v>
      </c>
      <c r="F20" s="4" t="s">
        <v>162</v>
      </c>
      <c r="G20" s="4" t="s">
        <v>6</v>
      </c>
      <c r="H20" s="49">
        <v>17.890433333333334</v>
      </c>
      <c r="I20" s="16"/>
      <c r="J20" s="25">
        <v>14</v>
      </c>
      <c r="K20" s="4" t="s">
        <v>279</v>
      </c>
      <c r="L20" s="4" t="s">
        <v>43</v>
      </c>
      <c r="M20" s="49">
        <v>35.729516666666669</v>
      </c>
    </row>
    <row r="21" spans="1:13" ht="18" customHeight="1">
      <c r="A21" s="25">
        <v>15</v>
      </c>
      <c r="B21" s="4" t="s">
        <v>67</v>
      </c>
      <c r="C21" s="49">
        <v>31.644016666666666</v>
      </c>
      <c r="D21" s="16"/>
      <c r="E21" s="25">
        <v>15</v>
      </c>
      <c r="F21" s="4" t="s">
        <v>356</v>
      </c>
      <c r="G21" s="4" t="s">
        <v>19</v>
      </c>
      <c r="H21" s="49">
        <v>17.413766666666668</v>
      </c>
      <c r="I21" s="16"/>
      <c r="J21" s="25">
        <v>15</v>
      </c>
      <c r="K21" s="4" t="s">
        <v>6</v>
      </c>
      <c r="L21" s="4" t="s">
        <v>6</v>
      </c>
      <c r="M21" s="49">
        <v>35.570616666666666</v>
      </c>
    </row>
    <row r="22" spans="1:13" ht="18" customHeight="1">
      <c r="A22" s="28">
        <v>16</v>
      </c>
      <c r="B22" s="5" t="s">
        <v>66</v>
      </c>
      <c r="C22" s="50">
        <v>31.63795</v>
      </c>
      <c r="D22" s="16"/>
      <c r="E22" s="28">
        <v>16</v>
      </c>
      <c r="F22" s="5" t="s">
        <v>357</v>
      </c>
      <c r="G22" s="5" t="s">
        <v>16</v>
      </c>
      <c r="H22" s="50">
        <v>17.375633333333333</v>
      </c>
      <c r="I22" s="16"/>
      <c r="J22" s="28">
        <v>16</v>
      </c>
      <c r="K22" s="5" t="s">
        <v>226</v>
      </c>
      <c r="L22" s="5" t="s">
        <v>19</v>
      </c>
      <c r="M22" s="50">
        <v>35.427733333333336</v>
      </c>
    </row>
    <row r="23" spans="1:13" ht="18" customHeight="1">
      <c r="A23" s="28">
        <v>17</v>
      </c>
      <c r="B23" s="5" t="s">
        <v>62</v>
      </c>
      <c r="C23" s="50">
        <v>31.286933333333334</v>
      </c>
      <c r="D23" s="16"/>
      <c r="E23" s="28">
        <v>17</v>
      </c>
      <c r="F23" s="5" t="s">
        <v>196</v>
      </c>
      <c r="G23" s="5" t="s">
        <v>6</v>
      </c>
      <c r="H23" s="50">
        <v>16.464533333333332</v>
      </c>
      <c r="I23" s="16"/>
      <c r="J23" s="28">
        <v>17</v>
      </c>
      <c r="K23" s="5" t="s">
        <v>254</v>
      </c>
      <c r="L23" s="5" t="s">
        <v>12</v>
      </c>
      <c r="M23" s="50">
        <v>34.553649999999998</v>
      </c>
    </row>
    <row r="24" spans="1:13" ht="18" customHeight="1">
      <c r="A24" s="28">
        <v>18</v>
      </c>
      <c r="B24" s="5" t="s">
        <v>70</v>
      </c>
      <c r="C24" s="50">
        <v>30.701283333333333</v>
      </c>
      <c r="D24" s="16"/>
      <c r="E24" s="28">
        <v>18</v>
      </c>
      <c r="F24" s="5" t="s">
        <v>358</v>
      </c>
      <c r="G24" s="5" t="s">
        <v>16</v>
      </c>
      <c r="H24" s="50">
        <v>16.055416666666666</v>
      </c>
      <c r="I24" s="16"/>
      <c r="J24" s="28">
        <v>18</v>
      </c>
      <c r="K24" s="5" t="s">
        <v>359</v>
      </c>
      <c r="L24" s="5" t="s">
        <v>16</v>
      </c>
      <c r="M24" s="50">
        <v>31.083200000000001</v>
      </c>
    </row>
    <row r="25" spans="1:13" ht="18" customHeight="1">
      <c r="A25" s="28">
        <v>19</v>
      </c>
      <c r="B25" s="5" t="s">
        <v>14</v>
      </c>
      <c r="C25" s="50">
        <v>30.394983333333332</v>
      </c>
      <c r="D25" s="16"/>
      <c r="E25" s="28">
        <v>19</v>
      </c>
      <c r="F25" s="5" t="s">
        <v>261</v>
      </c>
      <c r="G25" s="5" t="s">
        <v>6</v>
      </c>
      <c r="H25" s="50">
        <v>14.56795</v>
      </c>
      <c r="I25" s="16"/>
      <c r="J25" s="28">
        <v>19</v>
      </c>
      <c r="K25" s="5" t="s">
        <v>242</v>
      </c>
      <c r="L25" s="5" t="s">
        <v>25</v>
      </c>
      <c r="M25" s="50">
        <v>28.730816666666666</v>
      </c>
    </row>
    <row r="26" spans="1:13" ht="18" customHeight="1">
      <c r="A26" s="31">
        <v>20</v>
      </c>
      <c r="B26" s="32" t="s">
        <v>24</v>
      </c>
      <c r="C26" s="51">
        <v>28.408000000000001</v>
      </c>
      <c r="D26" s="16"/>
      <c r="E26" s="31">
        <v>20</v>
      </c>
      <c r="F26" s="32" t="s">
        <v>360</v>
      </c>
      <c r="G26" s="32" t="s">
        <v>16</v>
      </c>
      <c r="H26" s="51">
        <v>14.440716666666667</v>
      </c>
      <c r="I26" s="16"/>
      <c r="J26" s="31">
        <v>20</v>
      </c>
      <c r="K26" s="32" t="s">
        <v>361</v>
      </c>
      <c r="L26" s="32" t="s">
        <v>16</v>
      </c>
      <c r="M26" s="51">
        <v>26.992733333333334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B28FC-8DA9-7540-8219-1EC2A1A48579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362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251.72315</v>
      </c>
      <c r="D7" s="16"/>
      <c r="E7" s="13">
        <v>1</v>
      </c>
      <c r="F7" s="14" t="s">
        <v>156</v>
      </c>
      <c r="G7" s="14" t="s">
        <v>34</v>
      </c>
      <c r="H7" s="46">
        <v>62.320450000000001</v>
      </c>
      <c r="I7" s="16"/>
      <c r="J7" s="13">
        <v>1</v>
      </c>
      <c r="K7" s="14" t="s">
        <v>195</v>
      </c>
      <c r="L7" s="14" t="s">
        <v>17</v>
      </c>
      <c r="M7" s="46">
        <v>103.80123333333333</v>
      </c>
    </row>
    <row r="8" spans="1:16" ht="18" customHeight="1">
      <c r="A8" s="18">
        <v>2</v>
      </c>
      <c r="B8" s="2" t="s">
        <v>17</v>
      </c>
      <c r="C8" s="47">
        <v>216.48321666666666</v>
      </c>
      <c r="D8" s="16"/>
      <c r="E8" s="18">
        <v>2</v>
      </c>
      <c r="F8" s="2" t="s">
        <v>363</v>
      </c>
      <c r="G8" s="2" t="s">
        <v>34</v>
      </c>
      <c r="H8" s="47">
        <v>26.345716666666668</v>
      </c>
      <c r="I8" s="16"/>
      <c r="J8" s="18">
        <v>2</v>
      </c>
      <c r="K8" s="2" t="s">
        <v>193</v>
      </c>
      <c r="L8" s="2" t="s">
        <v>17</v>
      </c>
      <c r="M8" s="47">
        <v>103.20325</v>
      </c>
    </row>
    <row r="9" spans="1:16" ht="18" customHeight="1">
      <c r="A9" s="18">
        <v>3</v>
      </c>
      <c r="B9" s="2" t="s">
        <v>23</v>
      </c>
      <c r="C9" s="47">
        <v>158.51733333333334</v>
      </c>
      <c r="D9" s="16"/>
      <c r="E9" s="18">
        <v>3</v>
      </c>
      <c r="F9" s="2" t="s">
        <v>364</v>
      </c>
      <c r="G9" s="2" t="s">
        <v>17</v>
      </c>
      <c r="H9" s="47">
        <v>26.193216666666668</v>
      </c>
      <c r="I9" s="16"/>
      <c r="J9" s="18">
        <v>3</v>
      </c>
      <c r="K9" s="2" t="s">
        <v>183</v>
      </c>
      <c r="L9" s="2" t="s">
        <v>23</v>
      </c>
      <c r="M9" s="47">
        <v>101.91778333333333</v>
      </c>
    </row>
    <row r="10" spans="1:16" ht="18" customHeight="1">
      <c r="A10" s="18">
        <v>4</v>
      </c>
      <c r="B10" s="2" t="s">
        <v>5</v>
      </c>
      <c r="C10" s="47">
        <v>141.3272</v>
      </c>
      <c r="D10" s="16"/>
      <c r="E10" s="18">
        <v>4</v>
      </c>
      <c r="F10" s="2" t="s">
        <v>144</v>
      </c>
      <c r="G10" s="2" t="s">
        <v>6</v>
      </c>
      <c r="H10" s="47">
        <v>20.266300000000001</v>
      </c>
      <c r="I10" s="16"/>
      <c r="J10" s="18">
        <v>4</v>
      </c>
      <c r="K10" s="2" t="s">
        <v>151</v>
      </c>
      <c r="L10" s="2" t="s">
        <v>6</v>
      </c>
      <c r="M10" s="47">
        <v>92.134533333333337</v>
      </c>
    </row>
    <row r="11" spans="1:16" ht="18" customHeight="1">
      <c r="A11" s="18">
        <v>5</v>
      </c>
      <c r="B11" s="2" t="s">
        <v>9</v>
      </c>
      <c r="C11" s="47">
        <v>99.057183333333327</v>
      </c>
      <c r="D11" s="16"/>
      <c r="E11" s="18">
        <v>5</v>
      </c>
      <c r="F11" s="2" t="s">
        <v>365</v>
      </c>
      <c r="G11" s="2" t="s">
        <v>17</v>
      </c>
      <c r="H11" s="47">
        <v>18.508833333333332</v>
      </c>
      <c r="I11" s="16"/>
      <c r="J11" s="18">
        <v>5</v>
      </c>
      <c r="K11" s="2" t="s">
        <v>137</v>
      </c>
      <c r="L11" s="2" t="s">
        <v>6</v>
      </c>
      <c r="M11" s="47">
        <v>90.68268333333333</v>
      </c>
      <c r="P11" s="21"/>
    </row>
    <row r="12" spans="1:16" ht="18" customHeight="1">
      <c r="A12" s="22">
        <v>6</v>
      </c>
      <c r="B12" s="3" t="s">
        <v>34</v>
      </c>
      <c r="C12" s="48">
        <v>98.471800000000002</v>
      </c>
      <c r="D12" s="16"/>
      <c r="E12" s="22">
        <v>6</v>
      </c>
      <c r="F12" s="3" t="s">
        <v>146</v>
      </c>
      <c r="G12" s="3" t="s">
        <v>23</v>
      </c>
      <c r="H12" s="48">
        <v>18.165183333333335</v>
      </c>
      <c r="I12" s="16"/>
      <c r="J12" s="22">
        <v>6</v>
      </c>
      <c r="K12" s="3" t="s">
        <v>228</v>
      </c>
      <c r="L12" s="3" t="s">
        <v>34</v>
      </c>
      <c r="M12" s="48">
        <v>69.40625</v>
      </c>
    </row>
    <row r="13" spans="1:16" ht="18" customHeight="1">
      <c r="A13" s="22">
        <v>7</v>
      </c>
      <c r="B13" s="3" t="s">
        <v>12</v>
      </c>
      <c r="C13" s="48">
        <v>66.809200000000004</v>
      </c>
      <c r="D13" s="16"/>
      <c r="E13" s="22">
        <v>7</v>
      </c>
      <c r="F13" s="3" t="s">
        <v>162</v>
      </c>
      <c r="G13" s="3" t="s">
        <v>6</v>
      </c>
      <c r="H13" s="48">
        <v>17.906666666666666</v>
      </c>
      <c r="I13" s="16"/>
      <c r="J13" s="22">
        <v>7</v>
      </c>
      <c r="K13" s="3" t="s">
        <v>262</v>
      </c>
      <c r="L13" s="3" t="s">
        <v>9</v>
      </c>
      <c r="M13" s="48">
        <v>52.543599999999998</v>
      </c>
    </row>
    <row r="14" spans="1:16" ht="18" customHeight="1">
      <c r="A14" s="22">
        <v>8</v>
      </c>
      <c r="B14" s="3" t="s">
        <v>49</v>
      </c>
      <c r="C14" s="48">
        <v>58.611600000000003</v>
      </c>
      <c r="D14" s="16"/>
      <c r="E14" s="22">
        <v>8</v>
      </c>
      <c r="F14" s="3" t="s">
        <v>366</v>
      </c>
      <c r="G14" s="3" t="s">
        <v>110</v>
      </c>
      <c r="H14" s="48">
        <v>17.238716666666665</v>
      </c>
      <c r="I14" s="16"/>
      <c r="J14" s="22">
        <v>8</v>
      </c>
      <c r="K14" s="3" t="s">
        <v>153</v>
      </c>
      <c r="L14" s="3" t="s">
        <v>5</v>
      </c>
      <c r="M14" s="48">
        <v>47.419566666666668</v>
      </c>
    </row>
    <row r="15" spans="1:16" ht="18" customHeight="1">
      <c r="A15" s="22">
        <v>9</v>
      </c>
      <c r="B15" s="3" t="s">
        <v>25</v>
      </c>
      <c r="C15" s="48">
        <v>52.493316666666665</v>
      </c>
      <c r="D15" s="16"/>
      <c r="E15" s="22">
        <v>9</v>
      </c>
      <c r="F15" s="3" t="s">
        <v>198</v>
      </c>
      <c r="G15" s="3" t="s">
        <v>6</v>
      </c>
      <c r="H15" s="48">
        <v>16.862783333333333</v>
      </c>
      <c r="I15" s="16"/>
      <c r="J15" s="22">
        <v>9</v>
      </c>
      <c r="K15" s="3" t="s">
        <v>139</v>
      </c>
      <c r="L15" s="3" t="s">
        <v>9</v>
      </c>
      <c r="M15" s="48">
        <v>46.513583333333337</v>
      </c>
    </row>
    <row r="16" spans="1:16" ht="18" customHeight="1">
      <c r="A16" s="22">
        <v>10</v>
      </c>
      <c r="B16" s="3" t="s">
        <v>24</v>
      </c>
      <c r="C16" s="48">
        <v>25.699200000000001</v>
      </c>
      <c r="D16" s="16"/>
      <c r="E16" s="22">
        <v>10</v>
      </c>
      <c r="F16" s="3" t="s">
        <v>196</v>
      </c>
      <c r="G16" s="3" t="s">
        <v>6</v>
      </c>
      <c r="H16" s="48">
        <v>16.491716666666665</v>
      </c>
      <c r="I16" s="16"/>
      <c r="J16" s="22">
        <v>10</v>
      </c>
      <c r="K16" s="3" t="s">
        <v>141</v>
      </c>
      <c r="L16" s="3" t="s">
        <v>6</v>
      </c>
      <c r="M16" s="48">
        <v>44.059766666666668</v>
      </c>
    </row>
    <row r="17" spans="1:13" ht="18" customHeight="1">
      <c r="A17" s="25">
        <v>11</v>
      </c>
      <c r="B17" s="4" t="s">
        <v>8</v>
      </c>
      <c r="C17" s="49">
        <v>22.585416666666667</v>
      </c>
      <c r="D17" s="16"/>
      <c r="E17" s="25">
        <v>11</v>
      </c>
      <c r="F17" s="4" t="s">
        <v>367</v>
      </c>
      <c r="G17" s="4" t="s">
        <v>23</v>
      </c>
      <c r="H17" s="49">
        <v>16.335450000000002</v>
      </c>
      <c r="I17" s="16"/>
      <c r="J17" s="25">
        <v>11</v>
      </c>
      <c r="K17" s="4" t="s">
        <v>133</v>
      </c>
      <c r="L17" s="4" t="s">
        <v>5</v>
      </c>
      <c r="M17" s="49">
        <v>36.239483333333332</v>
      </c>
    </row>
    <row r="18" spans="1:13" ht="18" customHeight="1">
      <c r="A18" s="25">
        <v>12</v>
      </c>
      <c r="B18" s="4" t="s">
        <v>60</v>
      </c>
      <c r="C18" s="49">
        <v>22.494900000000001</v>
      </c>
      <c r="D18" s="16"/>
      <c r="E18" s="25">
        <v>12</v>
      </c>
      <c r="F18" s="4" t="s">
        <v>368</v>
      </c>
      <c r="G18" s="4" t="s">
        <v>113</v>
      </c>
      <c r="H18" s="49">
        <v>15.7773</v>
      </c>
      <c r="I18" s="16"/>
      <c r="J18" s="25">
        <v>12</v>
      </c>
      <c r="K18" s="4" t="s">
        <v>369</v>
      </c>
      <c r="L18" s="4" t="s">
        <v>34</v>
      </c>
      <c r="M18" s="49">
        <v>29.065550000000002</v>
      </c>
    </row>
    <row r="19" spans="1:13" ht="18" customHeight="1">
      <c r="A19" s="25">
        <v>13</v>
      </c>
      <c r="B19" s="4" t="s">
        <v>103</v>
      </c>
      <c r="C19" s="49">
        <v>20.239316666666667</v>
      </c>
      <c r="D19" s="16"/>
      <c r="E19" s="25">
        <v>13</v>
      </c>
      <c r="F19" s="4" t="s">
        <v>370</v>
      </c>
      <c r="G19" s="4" t="s">
        <v>49</v>
      </c>
      <c r="H19" s="49">
        <v>15.547533333333334</v>
      </c>
      <c r="I19" s="16"/>
      <c r="J19" s="25">
        <v>13</v>
      </c>
      <c r="K19" s="4" t="s">
        <v>12</v>
      </c>
      <c r="L19" s="4" t="s">
        <v>12</v>
      </c>
      <c r="M19" s="49">
        <v>24.652883333333332</v>
      </c>
    </row>
    <row r="20" spans="1:13" ht="18" customHeight="1">
      <c r="A20" s="25">
        <v>14</v>
      </c>
      <c r="B20" s="4" t="s">
        <v>85</v>
      </c>
      <c r="C20" s="49">
        <v>19.397066666666667</v>
      </c>
      <c r="D20" s="16"/>
      <c r="E20" s="25">
        <v>14</v>
      </c>
      <c r="F20" s="4" t="s">
        <v>133</v>
      </c>
      <c r="G20" s="4" t="s">
        <v>5</v>
      </c>
      <c r="H20" s="49">
        <v>15.295683333333333</v>
      </c>
      <c r="I20" s="16"/>
      <c r="J20" s="25">
        <v>14</v>
      </c>
      <c r="K20" s="4" t="s">
        <v>294</v>
      </c>
      <c r="L20" s="4" t="s">
        <v>60</v>
      </c>
      <c r="M20" s="49">
        <v>22.494900000000001</v>
      </c>
    </row>
    <row r="21" spans="1:13" ht="18" customHeight="1">
      <c r="A21" s="25">
        <v>15</v>
      </c>
      <c r="B21" s="4" t="s">
        <v>29</v>
      </c>
      <c r="C21" s="49">
        <v>19.267749999999999</v>
      </c>
      <c r="D21" s="16"/>
      <c r="E21" s="25">
        <v>15</v>
      </c>
      <c r="F21" s="4" t="s">
        <v>371</v>
      </c>
      <c r="G21" s="4" t="s">
        <v>114</v>
      </c>
      <c r="H21" s="49">
        <v>15.270933333333334</v>
      </c>
      <c r="I21" s="16"/>
      <c r="J21" s="25">
        <v>15</v>
      </c>
      <c r="K21" s="4" t="s">
        <v>143</v>
      </c>
      <c r="L21" s="4" t="s">
        <v>8</v>
      </c>
      <c r="M21" s="49">
        <v>21.573149999999998</v>
      </c>
    </row>
    <row r="22" spans="1:13" ht="18" customHeight="1">
      <c r="A22" s="28">
        <v>16</v>
      </c>
      <c r="B22" s="5" t="s">
        <v>19</v>
      </c>
      <c r="C22" s="50">
        <v>18.577433333333332</v>
      </c>
      <c r="D22" s="16"/>
      <c r="E22" s="28">
        <v>16</v>
      </c>
      <c r="F22" s="5" t="s">
        <v>372</v>
      </c>
      <c r="G22" s="5" t="s">
        <v>115</v>
      </c>
      <c r="H22" s="50">
        <v>14.863633333333333</v>
      </c>
      <c r="I22" s="16"/>
      <c r="J22" s="28">
        <v>16</v>
      </c>
      <c r="K22" s="5" t="s">
        <v>264</v>
      </c>
      <c r="L22" s="5" t="s">
        <v>23</v>
      </c>
      <c r="M22" s="50">
        <v>21.543933333333332</v>
      </c>
    </row>
    <row r="23" spans="1:13" ht="18" customHeight="1">
      <c r="A23" s="28">
        <v>17</v>
      </c>
      <c r="B23" s="5" t="s">
        <v>106</v>
      </c>
      <c r="C23" s="50">
        <v>18.473333333333333</v>
      </c>
      <c r="D23" s="16"/>
      <c r="E23" s="28">
        <v>17</v>
      </c>
      <c r="F23" s="5" t="s">
        <v>373</v>
      </c>
      <c r="G23" s="5" t="s">
        <v>111</v>
      </c>
      <c r="H23" s="50">
        <v>14.469733333333334</v>
      </c>
      <c r="I23" s="16"/>
      <c r="J23" s="28">
        <v>17</v>
      </c>
      <c r="K23" s="5" t="s">
        <v>242</v>
      </c>
      <c r="L23" s="5" t="s">
        <v>25</v>
      </c>
      <c r="M23" s="50">
        <v>21.425366666666665</v>
      </c>
    </row>
    <row r="24" spans="1:13" ht="18" customHeight="1">
      <c r="A24" s="28">
        <v>18</v>
      </c>
      <c r="B24" s="5" t="s">
        <v>109</v>
      </c>
      <c r="C24" s="50">
        <v>17.842216666666666</v>
      </c>
      <c r="D24" s="16"/>
      <c r="E24" s="28">
        <v>18</v>
      </c>
      <c r="F24" s="5" t="s">
        <v>232</v>
      </c>
      <c r="G24" s="5" t="s">
        <v>6</v>
      </c>
      <c r="H24" s="50">
        <v>14.346550000000001</v>
      </c>
      <c r="I24" s="16"/>
      <c r="J24" s="28">
        <v>18</v>
      </c>
      <c r="K24" s="5" t="s">
        <v>147</v>
      </c>
      <c r="L24" s="5" t="s">
        <v>5</v>
      </c>
      <c r="M24" s="50">
        <v>21.271033333333332</v>
      </c>
    </row>
    <row r="25" spans="1:13" ht="18" customHeight="1">
      <c r="A25" s="28">
        <v>19</v>
      </c>
      <c r="B25" s="5" t="s">
        <v>95</v>
      </c>
      <c r="C25" s="50">
        <v>17.398050000000001</v>
      </c>
      <c r="D25" s="16"/>
      <c r="E25" s="28">
        <v>19</v>
      </c>
      <c r="F25" s="5" t="s">
        <v>374</v>
      </c>
      <c r="G25" s="5" t="s">
        <v>23</v>
      </c>
      <c r="H25" s="50">
        <v>13.708</v>
      </c>
      <c r="I25" s="16"/>
      <c r="J25" s="28">
        <v>19</v>
      </c>
      <c r="K25" s="5" t="s">
        <v>309</v>
      </c>
      <c r="L25" s="5" t="s">
        <v>25</v>
      </c>
      <c r="M25" s="50">
        <v>20.128883333333334</v>
      </c>
    </row>
    <row r="26" spans="1:13" ht="18" customHeight="1">
      <c r="A26" s="31">
        <v>20</v>
      </c>
      <c r="B26" s="32" t="s">
        <v>110</v>
      </c>
      <c r="C26" s="51">
        <v>17.238716666666665</v>
      </c>
      <c r="D26" s="16"/>
      <c r="E26" s="31">
        <v>20</v>
      </c>
      <c r="F26" s="32" t="s">
        <v>190</v>
      </c>
      <c r="G26" s="32" t="s">
        <v>12</v>
      </c>
      <c r="H26" s="51">
        <v>13.202</v>
      </c>
      <c r="I26" s="16"/>
      <c r="J26" s="31">
        <v>20</v>
      </c>
      <c r="K26" s="32" t="s">
        <v>189</v>
      </c>
      <c r="L26" s="32" t="s">
        <v>29</v>
      </c>
      <c r="M26" s="51">
        <v>19.267749999999999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8EC2C-E0D7-B443-9AD2-CEC35644FA3F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375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18</v>
      </c>
      <c r="C7" s="46">
        <v>280.16663333333332</v>
      </c>
      <c r="D7" s="16"/>
      <c r="E7" s="13">
        <v>1</v>
      </c>
      <c r="F7" s="14" t="s">
        <v>172</v>
      </c>
      <c r="G7" s="14" t="s">
        <v>18</v>
      </c>
      <c r="H7" s="46">
        <v>50.24131666666667</v>
      </c>
      <c r="I7" s="16"/>
      <c r="J7" s="13">
        <v>1</v>
      </c>
      <c r="K7" s="14" t="s">
        <v>155</v>
      </c>
      <c r="L7" s="14" t="s">
        <v>18</v>
      </c>
      <c r="M7" s="46">
        <v>231.46773333333334</v>
      </c>
    </row>
    <row r="8" spans="1:16" ht="18" customHeight="1">
      <c r="A8" s="18">
        <v>2</v>
      </c>
      <c r="B8" s="2" t="s">
        <v>14</v>
      </c>
      <c r="C8" s="47">
        <v>236.99503333333334</v>
      </c>
      <c r="D8" s="16"/>
      <c r="E8" s="18">
        <v>2</v>
      </c>
      <c r="F8" s="2" t="s">
        <v>231</v>
      </c>
      <c r="G8" s="2" t="s">
        <v>18</v>
      </c>
      <c r="H8" s="47">
        <v>43.256316666666663</v>
      </c>
      <c r="I8" s="16"/>
      <c r="J8" s="18">
        <v>2</v>
      </c>
      <c r="K8" s="2" t="s">
        <v>149</v>
      </c>
      <c r="L8" s="2" t="s">
        <v>14</v>
      </c>
      <c r="M8" s="47">
        <v>176.28213333333332</v>
      </c>
    </row>
    <row r="9" spans="1:16" ht="18" customHeight="1">
      <c r="A9" s="18">
        <v>3</v>
      </c>
      <c r="B9" s="2" t="s">
        <v>7</v>
      </c>
      <c r="C9" s="47">
        <v>221.81710000000001</v>
      </c>
      <c r="D9" s="16"/>
      <c r="E9" s="18">
        <v>3</v>
      </c>
      <c r="F9" s="2" t="s">
        <v>140</v>
      </c>
      <c r="G9" s="2" t="s">
        <v>7</v>
      </c>
      <c r="H9" s="47">
        <v>33.327750000000002</v>
      </c>
      <c r="I9" s="16"/>
      <c r="J9" s="18">
        <v>3</v>
      </c>
      <c r="K9" s="2" t="s">
        <v>135</v>
      </c>
      <c r="L9" s="2" t="s">
        <v>7</v>
      </c>
      <c r="M9" s="47">
        <v>161.66909999999999</v>
      </c>
    </row>
    <row r="10" spans="1:16" ht="18" customHeight="1">
      <c r="A10" s="18">
        <v>4</v>
      </c>
      <c r="B10" s="2" t="s">
        <v>8</v>
      </c>
      <c r="C10" s="47">
        <v>214.98765</v>
      </c>
      <c r="D10" s="16"/>
      <c r="E10" s="18">
        <v>4</v>
      </c>
      <c r="F10" s="2" t="s">
        <v>235</v>
      </c>
      <c r="G10" s="2" t="s">
        <v>18</v>
      </c>
      <c r="H10" s="47">
        <v>33.103883333333336</v>
      </c>
      <c r="I10" s="16"/>
      <c r="J10" s="18">
        <v>4</v>
      </c>
      <c r="K10" s="2" t="s">
        <v>143</v>
      </c>
      <c r="L10" s="2" t="s">
        <v>8</v>
      </c>
      <c r="M10" s="47">
        <v>92.383766666666673</v>
      </c>
    </row>
    <row r="11" spans="1:16" ht="18" customHeight="1">
      <c r="A11" s="18">
        <v>5</v>
      </c>
      <c r="B11" s="2" t="s">
        <v>6</v>
      </c>
      <c r="C11" s="47">
        <v>88.191900000000004</v>
      </c>
      <c r="D11" s="16"/>
      <c r="E11" s="18">
        <v>5</v>
      </c>
      <c r="F11" s="2" t="s">
        <v>249</v>
      </c>
      <c r="G11" s="2" t="s">
        <v>18</v>
      </c>
      <c r="H11" s="47">
        <v>30.018733333333333</v>
      </c>
      <c r="I11" s="16"/>
      <c r="J11" s="18">
        <v>5</v>
      </c>
      <c r="K11" s="2" t="s">
        <v>165</v>
      </c>
      <c r="L11" s="2" t="s">
        <v>8</v>
      </c>
      <c r="M11" s="47">
        <v>73.807516666666672</v>
      </c>
      <c r="P11" s="21"/>
    </row>
    <row r="12" spans="1:16" ht="18" customHeight="1">
      <c r="A12" s="22">
        <v>6</v>
      </c>
      <c r="B12" s="3" t="s">
        <v>35</v>
      </c>
      <c r="C12" s="48">
        <v>72.265533333333337</v>
      </c>
      <c r="D12" s="16"/>
      <c r="E12" s="22">
        <v>6</v>
      </c>
      <c r="F12" s="3" t="s">
        <v>138</v>
      </c>
      <c r="G12" s="3" t="s">
        <v>8</v>
      </c>
      <c r="H12" s="48">
        <v>29.276833333333332</v>
      </c>
      <c r="I12" s="16"/>
      <c r="J12" s="22">
        <v>6</v>
      </c>
      <c r="K12" s="3" t="s">
        <v>240</v>
      </c>
      <c r="L12" s="3" t="s">
        <v>14</v>
      </c>
      <c r="M12" s="48">
        <v>60.649433333333334</v>
      </c>
    </row>
    <row r="13" spans="1:16" ht="18" customHeight="1">
      <c r="A13" s="22">
        <v>7</v>
      </c>
      <c r="B13" s="3" t="s">
        <v>38</v>
      </c>
      <c r="C13" s="48">
        <v>49.026116666666667</v>
      </c>
      <c r="D13" s="16"/>
      <c r="E13" s="22">
        <v>7</v>
      </c>
      <c r="F13" s="3" t="s">
        <v>150</v>
      </c>
      <c r="G13" s="3" t="s">
        <v>7</v>
      </c>
      <c r="H13" s="48">
        <v>29.21425</v>
      </c>
      <c r="I13" s="16"/>
      <c r="J13" s="22">
        <v>7</v>
      </c>
      <c r="K13" s="3" t="s">
        <v>169</v>
      </c>
      <c r="L13" s="3" t="s">
        <v>6</v>
      </c>
      <c r="M13" s="48">
        <v>50.73296666666667</v>
      </c>
    </row>
    <row r="14" spans="1:16" ht="18" customHeight="1">
      <c r="A14" s="22">
        <v>8</v>
      </c>
      <c r="B14" s="3" t="s">
        <v>56</v>
      </c>
      <c r="C14" s="48">
        <v>48.018916666666669</v>
      </c>
      <c r="D14" s="16"/>
      <c r="E14" s="22">
        <v>8</v>
      </c>
      <c r="F14" s="3" t="s">
        <v>255</v>
      </c>
      <c r="G14" s="3" t="s">
        <v>18</v>
      </c>
      <c r="H14" s="48">
        <v>24.410716666666666</v>
      </c>
      <c r="I14" s="16"/>
      <c r="J14" s="22">
        <v>8</v>
      </c>
      <c r="K14" s="3" t="s">
        <v>224</v>
      </c>
      <c r="L14" s="3" t="s">
        <v>38</v>
      </c>
      <c r="M14" s="48">
        <v>48.958783333333336</v>
      </c>
    </row>
    <row r="15" spans="1:16" ht="18" customHeight="1">
      <c r="A15" s="22">
        <v>9</v>
      </c>
      <c r="B15" s="3" t="s">
        <v>24</v>
      </c>
      <c r="C15" s="48">
        <v>45.594850000000001</v>
      </c>
      <c r="D15" s="16"/>
      <c r="E15" s="22">
        <v>9</v>
      </c>
      <c r="F15" s="3" t="s">
        <v>376</v>
      </c>
      <c r="G15" s="3" t="s">
        <v>93</v>
      </c>
      <c r="H15" s="48">
        <v>24.309000000000001</v>
      </c>
      <c r="I15" s="16"/>
      <c r="J15" s="22">
        <v>9</v>
      </c>
      <c r="K15" s="3" t="s">
        <v>244</v>
      </c>
      <c r="L15" s="3" t="s">
        <v>7</v>
      </c>
      <c r="M15" s="48">
        <v>48.18183333333333</v>
      </c>
    </row>
    <row r="16" spans="1:16" ht="18" customHeight="1">
      <c r="A16" s="22">
        <v>10</v>
      </c>
      <c r="B16" s="3" t="s">
        <v>53</v>
      </c>
      <c r="C16" s="48">
        <v>40.329816666666666</v>
      </c>
      <c r="D16" s="16"/>
      <c r="E16" s="22">
        <v>10</v>
      </c>
      <c r="F16" s="3" t="s">
        <v>148</v>
      </c>
      <c r="G16" s="3" t="s">
        <v>7</v>
      </c>
      <c r="H16" s="48">
        <v>24.288583333333332</v>
      </c>
      <c r="I16" s="16"/>
      <c r="J16" s="22">
        <v>10</v>
      </c>
      <c r="K16" s="3" t="s">
        <v>275</v>
      </c>
      <c r="L16" s="3" t="s">
        <v>56</v>
      </c>
      <c r="M16" s="48">
        <v>48.018916666666669</v>
      </c>
    </row>
    <row r="17" spans="1:13" ht="18" customHeight="1">
      <c r="A17" s="25">
        <v>11</v>
      </c>
      <c r="B17" s="4" t="s">
        <v>19</v>
      </c>
      <c r="C17" s="49">
        <v>35.718649999999997</v>
      </c>
      <c r="D17" s="16"/>
      <c r="E17" s="25">
        <v>11</v>
      </c>
      <c r="F17" s="4" t="s">
        <v>243</v>
      </c>
      <c r="G17" s="4" t="s">
        <v>8</v>
      </c>
      <c r="H17" s="49">
        <v>22.241250000000001</v>
      </c>
      <c r="I17" s="16"/>
      <c r="J17" s="25">
        <v>11</v>
      </c>
      <c r="K17" s="4" t="s">
        <v>199</v>
      </c>
      <c r="L17" s="4" t="s">
        <v>24</v>
      </c>
      <c r="M17" s="49">
        <v>44.808483333333335</v>
      </c>
    </row>
    <row r="18" spans="1:13" ht="18" customHeight="1">
      <c r="A18" s="25">
        <v>12</v>
      </c>
      <c r="B18" s="4" t="s">
        <v>29</v>
      </c>
      <c r="C18" s="49">
        <v>33.616900000000001</v>
      </c>
      <c r="D18" s="16"/>
      <c r="E18" s="25">
        <v>12</v>
      </c>
      <c r="F18" s="4" t="s">
        <v>227</v>
      </c>
      <c r="G18" s="4" t="s">
        <v>8</v>
      </c>
      <c r="H18" s="49">
        <v>20.280999999999999</v>
      </c>
      <c r="I18" s="16"/>
      <c r="J18" s="25">
        <v>12</v>
      </c>
      <c r="K18" s="4" t="s">
        <v>18</v>
      </c>
      <c r="L18" s="4" t="s">
        <v>18</v>
      </c>
      <c r="M18" s="49">
        <v>42.150483333333334</v>
      </c>
    </row>
    <row r="19" spans="1:13" ht="18" customHeight="1">
      <c r="A19" s="25">
        <v>13</v>
      </c>
      <c r="B19" s="4" t="s">
        <v>65</v>
      </c>
      <c r="C19" s="49">
        <v>31.903949999999998</v>
      </c>
      <c r="D19" s="16"/>
      <c r="E19" s="25">
        <v>13</v>
      </c>
      <c r="F19" s="4" t="s">
        <v>251</v>
      </c>
      <c r="G19" s="4" t="s">
        <v>14</v>
      </c>
      <c r="H19" s="49">
        <v>19.142949999999999</v>
      </c>
      <c r="I19" s="16"/>
      <c r="J19" s="25">
        <v>13</v>
      </c>
      <c r="K19" s="4" t="s">
        <v>260</v>
      </c>
      <c r="L19" s="4" t="s">
        <v>53</v>
      </c>
      <c r="M19" s="49">
        <v>39.527966666666664</v>
      </c>
    </row>
    <row r="20" spans="1:13" ht="18" customHeight="1">
      <c r="A20" s="25">
        <v>14</v>
      </c>
      <c r="B20" s="4" t="s">
        <v>76</v>
      </c>
      <c r="C20" s="49">
        <v>31.407283333333332</v>
      </c>
      <c r="D20" s="16"/>
      <c r="E20" s="25">
        <v>14</v>
      </c>
      <c r="F20" s="4" t="s">
        <v>377</v>
      </c>
      <c r="G20" s="4" t="s">
        <v>18</v>
      </c>
      <c r="H20" s="49">
        <v>18.520233333333334</v>
      </c>
      <c r="I20" s="16"/>
      <c r="J20" s="25">
        <v>14</v>
      </c>
      <c r="K20" s="4" t="s">
        <v>6</v>
      </c>
      <c r="L20" s="4" t="s">
        <v>6</v>
      </c>
      <c r="M20" s="49">
        <v>36.942366666666665</v>
      </c>
    </row>
    <row r="21" spans="1:13" ht="18" customHeight="1">
      <c r="A21" s="25">
        <v>15</v>
      </c>
      <c r="B21" s="4" t="s">
        <v>93</v>
      </c>
      <c r="C21" s="49">
        <v>24.309000000000001</v>
      </c>
      <c r="D21" s="16"/>
      <c r="E21" s="25">
        <v>15</v>
      </c>
      <c r="F21" s="4" t="s">
        <v>378</v>
      </c>
      <c r="G21" s="4" t="s">
        <v>18</v>
      </c>
      <c r="H21" s="49">
        <v>17.781416666666665</v>
      </c>
      <c r="I21" s="16"/>
      <c r="J21" s="25">
        <v>15</v>
      </c>
      <c r="K21" s="4" t="s">
        <v>283</v>
      </c>
      <c r="L21" s="4" t="s">
        <v>35</v>
      </c>
      <c r="M21" s="49">
        <v>36.817216666666667</v>
      </c>
    </row>
    <row r="22" spans="1:13" ht="18" customHeight="1">
      <c r="A22" s="28">
        <v>16</v>
      </c>
      <c r="B22" s="5" t="s">
        <v>50</v>
      </c>
      <c r="C22" s="50">
        <v>20.972133333333332</v>
      </c>
      <c r="D22" s="16"/>
      <c r="E22" s="28">
        <v>16</v>
      </c>
      <c r="F22" s="5" t="s">
        <v>241</v>
      </c>
      <c r="G22" s="5" t="s">
        <v>14</v>
      </c>
      <c r="H22" s="50">
        <v>16.542566666666666</v>
      </c>
      <c r="I22" s="16"/>
      <c r="J22" s="28">
        <v>16</v>
      </c>
      <c r="K22" s="5" t="s">
        <v>226</v>
      </c>
      <c r="L22" s="5" t="s">
        <v>19</v>
      </c>
      <c r="M22" s="50">
        <v>34.338749999999997</v>
      </c>
    </row>
    <row r="23" spans="1:13" ht="18" customHeight="1">
      <c r="A23" s="28">
        <v>17</v>
      </c>
      <c r="B23" s="5" t="s">
        <v>101</v>
      </c>
      <c r="C23" s="50">
        <v>20.461916666666667</v>
      </c>
      <c r="D23" s="16"/>
      <c r="E23" s="28">
        <v>17</v>
      </c>
      <c r="F23" s="5" t="s">
        <v>211</v>
      </c>
      <c r="G23" s="5" t="s">
        <v>14</v>
      </c>
      <c r="H23" s="50">
        <v>16.495349999999998</v>
      </c>
      <c r="I23" s="16"/>
      <c r="J23" s="28">
        <v>17</v>
      </c>
      <c r="K23" s="5" t="s">
        <v>189</v>
      </c>
      <c r="L23" s="5" t="s">
        <v>29</v>
      </c>
      <c r="M23" s="50">
        <v>33.616900000000001</v>
      </c>
    </row>
    <row r="24" spans="1:13" ht="18" customHeight="1">
      <c r="A24" s="28">
        <v>18</v>
      </c>
      <c r="B24" s="5" t="s">
        <v>78</v>
      </c>
      <c r="C24" s="50">
        <v>18.325833333333332</v>
      </c>
      <c r="D24" s="16"/>
      <c r="E24" s="28">
        <v>18</v>
      </c>
      <c r="F24" s="5" t="s">
        <v>174</v>
      </c>
      <c r="G24" s="5" t="s">
        <v>8</v>
      </c>
      <c r="H24" s="50">
        <v>16.025633333333332</v>
      </c>
      <c r="I24" s="16"/>
      <c r="J24" s="28">
        <v>18</v>
      </c>
      <c r="K24" s="5" t="s">
        <v>339</v>
      </c>
      <c r="L24" s="5" t="s">
        <v>65</v>
      </c>
      <c r="M24" s="50">
        <v>31.903949999999998</v>
      </c>
    </row>
    <row r="25" spans="1:13" ht="18" customHeight="1">
      <c r="A25" s="28">
        <v>19</v>
      </c>
      <c r="B25" s="5" t="s">
        <v>81</v>
      </c>
      <c r="C25" s="50">
        <v>16.648416666666666</v>
      </c>
      <c r="D25" s="16"/>
      <c r="E25" s="28">
        <v>19</v>
      </c>
      <c r="F25" s="5" t="s">
        <v>379</v>
      </c>
      <c r="G25" s="5" t="s">
        <v>18</v>
      </c>
      <c r="H25" s="50">
        <v>15.550466666666667</v>
      </c>
      <c r="I25" s="16"/>
      <c r="J25" s="28">
        <v>19</v>
      </c>
      <c r="K25" s="5" t="s">
        <v>380</v>
      </c>
      <c r="L25" s="5" t="s">
        <v>76</v>
      </c>
      <c r="M25" s="50">
        <v>31.407283333333332</v>
      </c>
    </row>
    <row r="26" spans="1:13" ht="18" customHeight="1">
      <c r="A26" s="31">
        <v>20</v>
      </c>
      <c r="B26" s="32" t="s">
        <v>28</v>
      </c>
      <c r="C26" s="51">
        <v>16.106083333333334</v>
      </c>
      <c r="D26" s="16"/>
      <c r="E26" s="31">
        <v>20</v>
      </c>
      <c r="F26" s="32" t="s">
        <v>381</v>
      </c>
      <c r="G26" s="32" t="s">
        <v>14</v>
      </c>
      <c r="H26" s="51">
        <v>15.534866666666666</v>
      </c>
      <c r="I26" s="16"/>
      <c r="J26" s="31">
        <v>20</v>
      </c>
      <c r="K26" s="32" t="s">
        <v>303</v>
      </c>
      <c r="L26" s="32" t="s">
        <v>8</v>
      </c>
      <c r="M26" s="51">
        <v>26.335899999999999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B15CD-3CF3-D347-AFBE-4687D9C7F7A8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7</v>
      </c>
      <c r="C7" s="46">
        <v>737.94141666666667</v>
      </c>
      <c r="D7" s="16"/>
      <c r="E7" s="13">
        <v>1</v>
      </c>
      <c r="F7" s="14" t="s">
        <v>140</v>
      </c>
      <c r="G7" s="14" t="s">
        <v>7</v>
      </c>
      <c r="H7" s="46">
        <v>61.218166666666669</v>
      </c>
      <c r="I7" s="16"/>
      <c r="J7" s="13">
        <v>1</v>
      </c>
      <c r="K7" s="14" t="s">
        <v>135</v>
      </c>
      <c r="L7" s="14" t="s">
        <v>7</v>
      </c>
      <c r="M7" s="46">
        <v>362.84500000000003</v>
      </c>
    </row>
    <row r="8" spans="1:16" ht="18" customHeight="1">
      <c r="A8" s="18">
        <v>2</v>
      </c>
      <c r="B8" s="2" t="s">
        <v>10</v>
      </c>
      <c r="C8" s="47">
        <v>285.41551666666669</v>
      </c>
      <c r="D8" s="16"/>
      <c r="E8" s="18">
        <v>2</v>
      </c>
      <c r="F8" s="2" t="s">
        <v>160</v>
      </c>
      <c r="G8" s="2" t="s">
        <v>7</v>
      </c>
      <c r="H8" s="47">
        <v>39.276433333333337</v>
      </c>
      <c r="I8" s="16"/>
      <c r="J8" s="18">
        <v>2</v>
      </c>
      <c r="K8" s="2" t="s">
        <v>206</v>
      </c>
      <c r="L8" s="2" t="s">
        <v>22</v>
      </c>
      <c r="M8" s="47">
        <v>164.53229999999999</v>
      </c>
    </row>
    <row r="9" spans="1:16" ht="18" customHeight="1">
      <c r="A9" s="18">
        <v>3</v>
      </c>
      <c r="B9" s="2" t="s">
        <v>22</v>
      </c>
      <c r="C9" s="47">
        <v>164.53229999999999</v>
      </c>
      <c r="D9" s="16"/>
      <c r="E9" s="18">
        <v>3</v>
      </c>
      <c r="F9" s="2" t="s">
        <v>148</v>
      </c>
      <c r="G9" s="2" t="s">
        <v>7</v>
      </c>
      <c r="H9" s="47">
        <v>37.964533333333335</v>
      </c>
      <c r="I9" s="16"/>
      <c r="J9" s="18">
        <v>3</v>
      </c>
      <c r="K9" s="2" t="s">
        <v>333</v>
      </c>
      <c r="L9" s="2" t="s">
        <v>7</v>
      </c>
      <c r="M9" s="47">
        <v>157.04613333333333</v>
      </c>
    </row>
    <row r="10" spans="1:16" ht="18" customHeight="1">
      <c r="A10" s="18">
        <v>4</v>
      </c>
      <c r="B10" s="2" t="s">
        <v>14</v>
      </c>
      <c r="C10" s="47">
        <v>121.94816666666667</v>
      </c>
      <c r="D10" s="16"/>
      <c r="E10" s="18">
        <v>4</v>
      </c>
      <c r="F10" s="2" t="s">
        <v>170</v>
      </c>
      <c r="G10" s="2" t="s">
        <v>7</v>
      </c>
      <c r="H10" s="47">
        <v>36.30383333333333</v>
      </c>
      <c r="I10" s="16"/>
      <c r="J10" s="18">
        <v>4</v>
      </c>
      <c r="K10" s="2" t="s">
        <v>149</v>
      </c>
      <c r="L10" s="2" t="s">
        <v>14</v>
      </c>
      <c r="M10" s="47">
        <v>117.60963333333333</v>
      </c>
    </row>
    <row r="11" spans="1:16" ht="18" customHeight="1">
      <c r="A11" s="18">
        <v>5</v>
      </c>
      <c r="B11" s="2" t="s">
        <v>29</v>
      </c>
      <c r="C11" s="47">
        <v>87.522400000000005</v>
      </c>
      <c r="D11" s="16"/>
      <c r="E11" s="18">
        <v>5</v>
      </c>
      <c r="F11" s="2" t="s">
        <v>217</v>
      </c>
      <c r="G11" s="2" t="s">
        <v>7</v>
      </c>
      <c r="H11" s="47">
        <v>30.476849999999999</v>
      </c>
      <c r="I11" s="16"/>
      <c r="J11" s="18">
        <v>5</v>
      </c>
      <c r="K11" s="2" t="s">
        <v>173</v>
      </c>
      <c r="L11" s="2" t="s">
        <v>7</v>
      </c>
      <c r="M11" s="47">
        <v>116.4701</v>
      </c>
      <c r="P11" s="21"/>
    </row>
    <row r="12" spans="1:16" ht="18" customHeight="1">
      <c r="A12" s="22">
        <v>6</v>
      </c>
      <c r="B12" s="3" t="s">
        <v>41</v>
      </c>
      <c r="C12" s="48">
        <v>75.027716666666663</v>
      </c>
      <c r="D12" s="16"/>
      <c r="E12" s="22">
        <v>6</v>
      </c>
      <c r="F12" s="3" t="s">
        <v>221</v>
      </c>
      <c r="G12" s="3" t="s">
        <v>7</v>
      </c>
      <c r="H12" s="48">
        <v>30.187266666666666</v>
      </c>
      <c r="I12" s="16"/>
      <c r="J12" s="22">
        <v>6</v>
      </c>
      <c r="K12" s="3" t="s">
        <v>167</v>
      </c>
      <c r="L12" s="3" t="s">
        <v>10</v>
      </c>
      <c r="M12" s="48">
        <v>110.27268333333333</v>
      </c>
    </row>
    <row r="13" spans="1:16" ht="18" customHeight="1">
      <c r="A13" s="22">
        <v>7</v>
      </c>
      <c r="B13" s="3" t="s">
        <v>42</v>
      </c>
      <c r="C13" s="48">
        <v>68.260350000000003</v>
      </c>
      <c r="D13" s="16"/>
      <c r="E13" s="22">
        <v>7</v>
      </c>
      <c r="F13" s="3" t="s">
        <v>150</v>
      </c>
      <c r="G13" s="3" t="s">
        <v>7</v>
      </c>
      <c r="H13" s="48">
        <v>29.236799999999999</v>
      </c>
      <c r="I13" s="16"/>
      <c r="J13" s="22">
        <v>7</v>
      </c>
      <c r="K13" s="3" t="s">
        <v>189</v>
      </c>
      <c r="L13" s="3" t="s">
        <v>29</v>
      </c>
      <c r="M13" s="48">
        <v>79.664733333333331</v>
      </c>
    </row>
    <row r="14" spans="1:16" ht="18" customHeight="1">
      <c r="A14" s="22">
        <v>8</v>
      </c>
      <c r="B14" s="3" t="s">
        <v>36</v>
      </c>
      <c r="C14" s="48">
        <v>66.525766666666669</v>
      </c>
      <c r="D14" s="16"/>
      <c r="E14" s="22">
        <v>8</v>
      </c>
      <c r="F14" s="3" t="s">
        <v>189</v>
      </c>
      <c r="G14" s="3" t="s">
        <v>29</v>
      </c>
      <c r="H14" s="48">
        <v>27.23845</v>
      </c>
      <c r="I14" s="16"/>
      <c r="J14" s="22">
        <v>8</v>
      </c>
      <c r="K14" s="3" t="s">
        <v>244</v>
      </c>
      <c r="L14" s="3" t="s">
        <v>7</v>
      </c>
      <c r="M14" s="48">
        <v>72.235033333333334</v>
      </c>
    </row>
    <row r="15" spans="1:16" ht="18" customHeight="1">
      <c r="A15" s="22">
        <v>9</v>
      </c>
      <c r="B15" s="3" t="s">
        <v>17</v>
      </c>
      <c r="C15" s="48">
        <v>42.23361666666667</v>
      </c>
      <c r="D15" s="16"/>
      <c r="E15" s="22">
        <v>9</v>
      </c>
      <c r="F15" s="3" t="s">
        <v>256</v>
      </c>
      <c r="G15" s="3" t="s">
        <v>7</v>
      </c>
      <c r="H15" s="48">
        <v>25.694649999999999</v>
      </c>
      <c r="I15" s="16"/>
      <c r="J15" s="22">
        <v>9</v>
      </c>
      <c r="K15" s="3" t="s">
        <v>335</v>
      </c>
      <c r="L15" s="3" t="s">
        <v>36</v>
      </c>
      <c r="M15" s="48">
        <v>62.464666666666666</v>
      </c>
    </row>
    <row r="16" spans="1:16" ht="18" customHeight="1">
      <c r="A16" s="22">
        <v>10</v>
      </c>
      <c r="B16" s="3" t="s">
        <v>8</v>
      </c>
      <c r="C16" s="48">
        <v>34.707616666666667</v>
      </c>
      <c r="D16" s="16"/>
      <c r="E16" s="22">
        <v>10</v>
      </c>
      <c r="F16" s="3" t="s">
        <v>302</v>
      </c>
      <c r="G16" s="3" t="s">
        <v>36</v>
      </c>
      <c r="H16" s="48">
        <v>25.546583333333334</v>
      </c>
      <c r="I16" s="16"/>
      <c r="J16" s="22">
        <v>10</v>
      </c>
      <c r="K16" s="3" t="s">
        <v>205</v>
      </c>
      <c r="L16" s="3" t="s">
        <v>10</v>
      </c>
      <c r="M16" s="48">
        <v>59.406383333333331</v>
      </c>
    </row>
    <row r="17" spans="1:13" ht="18" customHeight="1">
      <c r="A17" s="25">
        <v>11</v>
      </c>
      <c r="B17" s="4" t="s">
        <v>9</v>
      </c>
      <c r="C17" s="49">
        <v>33.958166666666664</v>
      </c>
      <c r="D17" s="16"/>
      <c r="E17" s="25">
        <v>11</v>
      </c>
      <c r="F17" s="4" t="s">
        <v>284</v>
      </c>
      <c r="G17" s="4" t="s">
        <v>7</v>
      </c>
      <c r="H17" s="49">
        <v>24.859183333333334</v>
      </c>
      <c r="I17" s="16"/>
      <c r="J17" s="25">
        <v>11</v>
      </c>
      <c r="K17" s="4" t="s">
        <v>266</v>
      </c>
      <c r="L17" s="4" t="s">
        <v>42</v>
      </c>
      <c r="M17" s="49">
        <v>47.788183333333336</v>
      </c>
    </row>
    <row r="18" spans="1:13" ht="18" customHeight="1">
      <c r="A18" s="25">
        <v>12</v>
      </c>
      <c r="B18" s="4" t="s">
        <v>80</v>
      </c>
      <c r="C18" s="49">
        <v>21.04055</v>
      </c>
      <c r="D18" s="16"/>
      <c r="E18" s="25">
        <v>12</v>
      </c>
      <c r="F18" s="4" t="s">
        <v>253</v>
      </c>
      <c r="G18" s="4" t="s">
        <v>7</v>
      </c>
      <c r="H18" s="49">
        <v>24.704499999999999</v>
      </c>
      <c r="I18" s="16"/>
      <c r="J18" s="25">
        <v>12</v>
      </c>
      <c r="K18" s="4" t="s">
        <v>273</v>
      </c>
      <c r="L18" s="4" t="s">
        <v>41</v>
      </c>
      <c r="M18" s="49">
        <v>46.379049999999999</v>
      </c>
    </row>
    <row r="19" spans="1:13" ht="18" customHeight="1">
      <c r="A19" s="25">
        <v>13</v>
      </c>
      <c r="B19" s="4" t="s">
        <v>89</v>
      </c>
      <c r="C19" s="49">
        <v>20.26745</v>
      </c>
      <c r="D19" s="16"/>
      <c r="E19" s="25">
        <v>13</v>
      </c>
      <c r="F19" s="4" t="s">
        <v>383</v>
      </c>
      <c r="G19" s="4" t="s">
        <v>36</v>
      </c>
      <c r="H19" s="49">
        <v>21.934533333333334</v>
      </c>
      <c r="I19" s="16"/>
      <c r="J19" s="25">
        <v>13</v>
      </c>
      <c r="K19" s="4" t="s">
        <v>139</v>
      </c>
      <c r="L19" s="4" t="s">
        <v>9</v>
      </c>
      <c r="M19" s="49">
        <v>33.958166666666664</v>
      </c>
    </row>
    <row r="20" spans="1:13" ht="18" customHeight="1">
      <c r="A20" s="25">
        <v>14</v>
      </c>
      <c r="B20" s="4" t="s">
        <v>59</v>
      </c>
      <c r="C20" s="49">
        <v>19.822700000000001</v>
      </c>
      <c r="D20" s="16"/>
      <c r="E20" s="25">
        <v>14</v>
      </c>
      <c r="F20" s="4" t="s">
        <v>304</v>
      </c>
      <c r="G20" s="4" t="s">
        <v>7</v>
      </c>
      <c r="H20" s="49">
        <v>20.967316666666665</v>
      </c>
      <c r="I20" s="16"/>
      <c r="J20" s="25">
        <v>14</v>
      </c>
      <c r="K20" s="4" t="s">
        <v>384</v>
      </c>
      <c r="L20" s="4" t="s">
        <v>7</v>
      </c>
      <c r="M20" s="49">
        <v>28.224033333333335</v>
      </c>
    </row>
    <row r="21" spans="1:13" ht="18" customHeight="1">
      <c r="A21" s="25">
        <v>15</v>
      </c>
      <c r="B21" s="4" t="s">
        <v>107</v>
      </c>
      <c r="C21" s="49">
        <v>18.417666666666666</v>
      </c>
      <c r="D21" s="16"/>
      <c r="E21" s="25">
        <v>15</v>
      </c>
      <c r="F21" s="4" t="s">
        <v>385</v>
      </c>
      <c r="G21" s="4" t="s">
        <v>22</v>
      </c>
      <c r="H21" s="49">
        <v>20.504416666666668</v>
      </c>
      <c r="I21" s="16"/>
      <c r="J21" s="25">
        <v>15</v>
      </c>
      <c r="K21" s="4" t="s">
        <v>290</v>
      </c>
      <c r="L21" s="4" t="s">
        <v>17</v>
      </c>
      <c r="M21" s="49">
        <v>28.005116666666666</v>
      </c>
    </row>
    <row r="22" spans="1:13" ht="18" customHeight="1">
      <c r="A22" s="28">
        <v>16</v>
      </c>
      <c r="B22" s="5" t="s">
        <v>60</v>
      </c>
      <c r="C22" s="50">
        <v>17.754166666666666</v>
      </c>
      <c r="D22" s="16"/>
      <c r="E22" s="28">
        <v>16</v>
      </c>
      <c r="F22" s="5" t="s">
        <v>386</v>
      </c>
      <c r="G22" s="5" t="s">
        <v>7</v>
      </c>
      <c r="H22" s="50">
        <v>18.350566666666666</v>
      </c>
      <c r="I22" s="16"/>
      <c r="J22" s="28">
        <v>16</v>
      </c>
      <c r="K22" s="5" t="s">
        <v>387</v>
      </c>
      <c r="L22" s="5" t="s">
        <v>41</v>
      </c>
      <c r="M22" s="50">
        <v>26.994266666666668</v>
      </c>
    </row>
    <row r="23" spans="1:13" ht="18" customHeight="1">
      <c r="A23" s="28">
        <v>17</v>
      </c>
      <c r="B23" s="5" t="s">
        <v>53</v>
      </c>
      <c r="C23" s="50">
        <v>14.972233333333334</v>
      </c>
      <c r="D23" s="16"/>
      <c r="E23" s="28">
        <v>17</v>
      </c>
      <c r="F23" s="5" t="s">
        <v>388</v>
      </c>
      <c r="G23" s="5" t="s">
        <v>7</v>
      </c>
      <c r="H23" s="50">
        <v>17.515799999999999</v>
      </c>
      <c r="I23" s="16"/>
      <c r="J23" s="28">
        <v>17</v>
      </c>
      <c r="K23" s="5" t="s">
        <v>301</v>
      </c>
      <c r="L23" s="5" t="s">
        <v>10</v>
      </c>
      <c r="M23" s="50">
        <v>26.372466666666668</v>
      </c>
    </row>
    <row r="24" spans="1:13" ht="18" customHeight="1">
      <c r="A24" s="28">
        <v>18</v>
      </c>
      <c r="B24" s="5" t="s">
        <v>38</v>
      </c>
      <c r="C24" s="50">
        <v>13.726516666666667</v>
      </c>
      <c r="D24" s="16"/>
      <c r="E24" s="28">
        <v>18</v>
      </c>
      <c r="F24" s="5" t="s">
        <v>389</v>
      </c>
      <c r="G24" s="5" t="s">
        <v>7</v>
      </c>
      <c r="H24" s="50">
        <v>17.452216666666665</v>
      </c>
      <c r="I24" s="16"/>
      <c r="J24" s="28">
        <v>18</v>
      </c>
      <c r="K24" s="5" t="s">
        <v>390</v>
      </c>
      <c r="L24" s="5" t="s">
        <v>10</v>
      </c>
      <c r="M24" s="50">
        <v>22.56925</v>
      </c>
    </row>
    <row r="25" spans="1:13" ht="18" customHeight="1">
      <c r="A25" s="28">
        <v>19</v>
      </c>
      <c r="B25" s="5" t="s">
        <v>69</v>
      </c>
      <c r="C25" s="50">
        <v>13.289199999999999</v>
      </c>
      <c r="D25" s="16"/>
      <c r="E25" s="28">
        <v>19</v>
      </c>
      <c r="F25" s="5" t="s">
        <v>391</v>
      </c>
      <c r="G25" s="5" t="s">
        <v>7</v>
      </c>
      <c r="H25" s="50">
        <v>17.377783333333333</v>
      </c>
      <c r="I25" s="16"/>
      <c r="J25" s="28">
        <v>19</v>
      </c>
      <c r="K25" s="5" t="s">
        <v>392</v>
      </c>
      <c r="L25" s="5" t="s">
        <v>80</v>
      </c>
      <c r="M25" s="50">
        <v>21.04055</v>
      </c>
    </row>
    <row r="26" spans="1:13" ht="18" customHeight="1">
      <c r="A26" s="31">
        <v>20</v>
      </c>
      <c r="B26" s="32" t="s">
        <v>120</v>
      </c>
      <c r="C26" s="51">
        <v>13.174200000000001</v>
      </c>
      <c r="D26" s="16"/>
      <c r="E26" s="31">
        <v>20</v>
      </c>
      <c r="F26" s="32" t="s">
        <v>269</v>
      </c>
      <c r="G26" s="32" t="s">
        <v>7</v>
      </c>
      <c r="H26" s="51">
        <v>17.187183333333333</v>
      </c>
      <c r="I26" s="16"/>
      <c r="J26" s="31">
        <v>20</v>
      </c>
      <c r="K26" s="32" t="s">
        <v>393</v>
      </c>
      <c r="L26" s="32" t="s">
        <v>89</v>
      </c>
      <c r="M26" s="51">
        <v>20.26745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04AC8-ADD7-1C42-ABEA-3F8E47FF4484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395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295.61993333333334</v>
      </c>
      <c r="D7" s="16"/>
      <c r="E7" s="13">
        <v>1</v>
      </c>
      <c r="F7" s="14" t="s">
        <v>144</v>
      </c>
      <c r="G7" s="14" t="s">
        <v>6</v>
      </c>
      <c r="H7" s="46">
        <v>50.176049999999996</v>
      </c>
      <c r="I7" s="16"/>
      <c r="J7" s="13">
        <v>1</v>
      </c>
      <c r="K7" s="14" t="s">
        <v>187</v>
      </c>
      <c r="L7" s="14" t="s">
        <v>27</v>
      </c>
      <c r="M7" s="46">
        <v>111.36078333333333</v>
      </c>
    </row>
    <row r="8" spans="1:16" ht="18" customHeight="1">
      <c r="A8" s="18">
        <v>2</v>
      </c>
      <c r="B8" s="2" t="s">
        <v>7</v>
      </c>
      <c r="C8" s="47">
        <v>220.96671666666666</v>
      </c>
      <c r="D8" s="16"/>
      <c r="E8" s="18">
        <v>2</v>
      </c>
      <c r="F8" s="2" t="s">
        <v>186</v>
      </c>
      <c r="G8" s="2" t="s">
        <v>27</v>
      </c>
      <c r="H8" s="47">
        <v>46.345233333333333</v>
      </c>
      <c r="I8" s="16"/>
      <c r="J8" s="18">
        <v>2</v>
      </c>
      <c r="K8" s="2" t="s">
        <v>137</v>
      </c>
      <c r="L8" s="2" t="s">
        <v>6</v>
      </c>
      <c r="M8" s="47">
        <v>100.88958333333333</v>
      </c>
    </row>
    <row r="9" spans="1:16" ht="18" customHeight="1">
      <c r="A9" s="18">
        <v>3</v>
      </c>
      <c r="B9" s="2" t="s">
        <v>10</v>
      </c>
      <c r="C9" s="47">
        <v>137.56541666666666</v>
      </c>
      <c r="D9" s="16"/>
      <c r="E9" s="18">
        <v>3</v>
      </c>
      <c r="F9" s="2" t="s">
        <v>157</v>
      </c>
      <c r="G9" s="2" t="s">
        <v>6</v>
      </c>
      <c r="H9" s="47">
        <v>22.319016666666666</v>
      </c>
      <c r="I9" s="16"/>
      <c r="J9" s="18">
        <v>3</v>
      </c>
      <c r="K9" s="2" t="s">
        <v>141</v>
      </c>
      <c r="L9" s="2" t="s">
        <v>6</v>
      </c>
      <c r="M9" s="47">
        <v>99.355183333333329</v>
      </c>
    </row>
    <row r="10" spans="1:16" ht="18" customHeight="1">
      <c r="A10" s="18">
        <v>4</v>
      </c>
      <c r="B10" s="2" t="s">
        <v>27</v>
      </c>
      <c r="C10" s="47">
        <v>120.78316666666667</v>
      </c>
      <c r="D10" s="16"/>
      <c r="E10" s="18">
        <v>4</v>
      </c>
      <c r="F10" s="2" t="s">
        <v>269</v>
      </c>
      <c r="G10" s="2" t="s">
        <v>7</v>
      </c>
      <c r="H10" s="47">
        <v>21.850816666666667</v>
      </c>
      <c r="I10" s="16"/>
      <c r="J10" s="18">
        <v>4</v>
      </c>
      <c r="K10" s="2" t="s">
        <v>333</v>
      </c>
      <c r="L10" s="2" t="s">
        <v>7</v>
      </c>
      <c r="M10" s="47">
        <v>96.753950000000003</v>
      </c>
    </row>
    <row r="11" spans="1:16" ht="18" customHeight="1">
      <c r="A11" s="18">
        <v>5</v>
      </c>
      <c r="B11" s="2" t="s">
        <v>14</v>
      </c>
      <c r="C11" s="47">
        <v>53.890366666666665</v>
      </c>
      <c r="D11" s="16"/>
      <c r="E11" s="18">
        <v>5</v>
      </c>
      <c r="F11" s="2" t="s">
        <v>150</v>
      </c>
      <c r="G11" s="2" t="s">
        <v>7</v>
      </c>
      <c r="H11" s="47">
        <v>19.533316666666668</v>
      </c>
      <c r="I11" s="16"/>
      <c r="J11" s="18">
        <v>5</v>
      </c>
      <c r="K11" s="2" t="s">
        <v>334</v>
      </c>
      <c r="L11" s="2" t="s">
        <v>10</v>
      </c>
      <c r="M11" s="47">
        <v>76.075666666666663</v>
      </c>
      <c r="P11" s="21"/>
    </row>
    <row r="12" spans="1:16" ht="18" customHeight="1">
      <c r="A12" s="22">
        <v>6</v>
      </c>
      <c r="B12" s="3" t="s">
        <v>17</v>
      </c>
      <c r="C12" s="48">
        <v>34.181416666666664</v>
      </c>
      <c r="D12" s="16"/>
      <c r="E12" s="22">
        <v>6</v>
      </c>
      <c r="F12" s="3" t="s">
        <v>396</v>
      </c>
      <c r="G12" s="3" t="s">
        <v>27</v>
      </c>
      <c r="H12" s="48">
        <v>19.265883333333335</v>
      </c>
      <c r="I12" s="16"/>
      <c r="J12" s="22">
        <v>6</v>
      </c>
      <c r="K12" s="3" t="s">
        <v>135</v>
      </c>
      <c r="L12" s="3"/>
      <c r="M12" s="48">
        <v>73.185733333333332</v>
      </c>
    </row>
    <row r="13" spans="1:16" ht="18" customHeight="1">
      <c r="A13" s="22">
        <v>7</v>
      </c>
      <c r="B13" s="3" t="s">
        <v>18</v>
      </c>
      <c r="C13" s="48">
        <v>31.103349999999999</v>
      </c>
      <c r="D13" s="16"/>
      <c r="E13" s="22">
        <v>7</v>
      </c>
      <c r="F13" s="3" t="s">
        <v>397</v>
      </c>
      <c r="G13" s="3" t="s">
        <v>58</v>
      </c>
      <c r="H13" s="48">
        <v>18.8612</v>
      </c>
      <c r="I13" s="16"/>
      <c r="J13" s="22">
        <v>7</v>
      </c>
      <c r="K13" s="3" t="s">
        <v>205</v>
      </c>
      <c r="L13" s="3" t="s">
        <v>10</v>
      </c>
      <c r="M13" s="48">
        <v>55.587350000000001</v>
      </c>
    </row>
    <row r="14" spans="1:16" ht="18" customHeight="1">
      <c r="A14" s="22">
        <v>8</v>
      </c>
      <c r="B14" s="3" t="s">
        <v>33</v>
      </c>
      <c r="C14" s="48">
        <v>29.032550000000001</v>
      </c>
      <c r="D14" s="16"/>
      <c r="E14" s="22">
        <v>8</v>
      </c>
      <c r="F14" s="3" t="s">
        <v>204</v>
      </c>
      <c r="G14" s="3" t="s">
        <v>6</v>
      </c>
      <c r="H14" s="48">
        <v>16.211683333333333</v>
      </c>
      <c r="I14" s="16"/>
      <c r="J14" s="22">
        <v>8</v>
      </c>
      <c r="K14" s="3" t="s">
        <v>173</v>
      </c>
      <c r="L14" s="3" t="s">
        <v>7</v>
      </c>
      <c r="M14" s="48">
        <v>51.027033333333335</v>
      </c>
    </row>
    <row r="15" spans="1:16" ht="18" customHeight="1">
      <c r="A15" s="22">
        <v>9</v>
      </c>
      <c r="B15" s="3" t="s">
        <v>58</v>
      </c>
      <c r="C15" s="48">
        <v>27.273416666666666</v>
      </c>
      <c r="D15" s="16"/>
      <c r="E15" s="22">
        <v>9</v>
      </c>
      <c r="F15" s="3" t="s">
        <v>148</v>
      </c>
      <c r="G15" s="3" t="s">
        <v>7</v>
      </c>
      <c r="H15" s="48">
        <v>16.067533333333333</v>
      </c>
      <c r="I15" s="16"/>
      <c r="J15" s="22">
        <v>9</v>
      </c>
      <c r="K15" s="3" t="s">
        <v>151</v>
      </c>
      <c r="L15" s="3" t="s">
        <v>6</v>
      </c>
      <c r="M15" s="48">
        <v>50.291200000000003</v>
      </c>
    </row>
    <row r="16" spans="1:16" ht="18" customHeight="1">
      <c r="A16" s="22">
        <v>10</v>
      </c>
      <c r="B16" s="3" t="s">
        <v>94</v>
      </c>
      <c r="C16" s="48">
        <v>20.580816666666667</v>
      </c>
      <c r="D16" s="16"/>
      <c r="E16" s="22">
        <v>10</v>
      </c>
      <c r="F16" s="3" t="s">
        <v>162</v>
      </c>
      <c r="G16" s="3" t="s">
        <v>6</v>
      </c>
      <c r="H16" s="48">
        <v>15.495966666666666</v>
      </c>
      <c r="I16" s="16"/>
      <c r="J16" s="22">
        <v>10</v>
      </c>
      <c r="K16" s="3" t="s">
        <v>149</v>
      </c>
      <c r="L16" s="3" t="s">
        <v>14</v>
      </c>
      <c r="M16" s="48">
        <v>46.634383333333332</v>
      </c>
    </row>
    <row r="17" spans="1:13" ht="18" customHeight="1">
      <c r="A17" s="25">
        <v>11</v>
      </c>
      <c r="B17" s="4" t="s">
        <v>22</v>
      </c>
      <c r="C17" s="49">
        <v>17.019816666666667</v>
      </c>
      <c r="D17" s="16"/>
      <c r="E17" s="25">
        <v>11</v>
      </c>
      <c r="F17" s="4" t="s">
        <v>202</v>
      </c>
      <c r="G17" s="4" t="s">
        <v>6</v>
      </c>
      <c r="H17" s="49">
        <v>15.39475</v>
      </c>
      <c r="I17" s="16"/>
      <c r="J17" s="25">
        <v>11</v>
      </c>
      <c r="K17" s="4" t="s">
        <v>6</v>
      </c>
      <c r="L17" s="4" t="s">
        <v>6</v>
      </c>
      <c r="M17" s="49">
        <v>45.083966666666669</v>
      </c>
    </row>
    <row r="18" spans="1:13" ht="18" customHeight="1">
      <c r="A18" s="25">
        <v>12</v>
      </c>
      <c r="B18" s="4" t="s">
        <v>63</v>
      </c>
      <c r="C18" s="49">
        <v>16.087783333333334</v>
      </c>
      <c r="D18" s="16"/>
      <c r="E18" s="25">
        <v>12</v>
      </c>
      <c r="F18" s="4" t="s">
        <v>217</v>
      </c>
      <c r="G18" s="4" t="s">
        <v>7</v>
      </c>
      <c r="H18" s="49">
        <v>15.228866666666667</v>
      </c>
      <c r="I18" s="16"/>
      <c r="J18" s="25">
        <v>12</v>
      </c>
      <c r="K18" s="4" t="s">
        <v>155</v>
      </c>
      <c r="L18" s="4" t="s">
        <v>18</v>
      </c>
      <c r="M18" s="49">
        <v>31.103349999999999</v>
      </c>
    </row>
    <row r="19" spans="1:13" ht="18" customHeight="1">
      <c r="A19" s="25">
        <v>13</v>
      </c>
      <c r="B19" s="4" t="s">
        <v>9</v>
      </c>
      <c r="C19" s="49">
        <v>15.18975</v>
      </c>
      <c r="D19" s="16"/>
      <c r="E19" s="25">
        <v>13</v>
      </c>
      <c r="F19" s="4" t="s">
        <v>221</v>
      </c>
      <c r="G19" s="4" t="s">
        <v>7</v>
      </c>
      <c r="H19" s="49">
        <v>15.080666666666668</v>
      </c>
      <c r="I19" s="16"/>
      <c r="J19" s="25">
        <v>13</v>
      </c>
      <c r="K19" s="4" t="s">
        <v>398</v>
      </c>
      <c r="L19" s="4" t="s">
        <v>33</v>
      </c>
      <c r="M19" s="49">
        <v>24.382316666666668</v>
      </c>
    </row>
    <row r="20" spans="1:13" ht="18" customHeight="1">
      <c r="A20" s="25">
        <v>14</v>
      </c>
      <c r="B20" s="4" t="s">
        <v>122</v>
      </c>
      <c r="C20" s="49">
        <v>9.5076999999999998</v>
      </c>
      <c r="D20" s="16"/>
      <c r="E20" s="25">
        <v>14</v>
      </c>
      <c r="F20" s="4" t="s">
        <v>394</v>
      </c>
      <c r="G20" s="4" t="s">
        <v>17</v>
      </c>
      <c r="H20" s="49">
        <v>13.69825</v>
      </c>
      <c r="I20" s="16"/>
      <c r="J20" s="25">
        <v>14</v>
      </c>
      <c r="K20" s="4" t="s">
        <v>94</v>
      </c>
      <c r="L20" s="4" t="s">
        <v>94</v>
      </c>
      <c r="M20" s="49">
        <v>20.525099999999998</v>
      </c>
    </row>
    <row r="21" spans="1:13" ht="18" customHeight="1">
      <c r="A21" s="25">
        <v>15</v>
      </c>
      <c r="B21" s="4" t="s">
        <v>112</v>
      </c>
      <c r="C21" s="49">
        <v>8.6433833333333325</v>
      </c>
      <c r="D21" s="16"/>
      <c r="E21" s="25">
        <v>15</v>
      </c>
      <c r="F21" s="4" t="s">
        <v>399</v>
      </c>
      <c r="G21" s="4" t="s">
        <v>27</v>
      </c>
      <c r="H21" s="49">
        <v>12.874666666666666</v>
      </c>
      <c r="I21" s="16"/>
      <c r="J21" s="25">
        <v>15</v>
      </c>
      <c r="K21" s="4" t="s">
        <v>400</v>
      </c>
      <c r="L21" s="4" t="s">
        <v>58</v>
      </c>
      <c r="M21" s="49">
        <v>18.8612</v>
      </c>
    </row>
    <row r="22" spans="1:13" ht="18" customHeight="1">
      <c r="A22" s="28">
        <v>16</v>
      </c>
      <c r="B22" s="5" t="s">
        <v>42</v>
      </c>
      <c r="C22" s="50">
        <v>7.5902000000000003</v>
      </c>
      <c r="D22" s="16"/>
      <c r="E22" s="28">
        <v>16</v>
      </c>
      <c r="F22" s="5" t="s">
        <v>256</v>
      </c>
      <c r="G22" s="5" t="s">
        <v>7</v>
      </c>
      <c r="H22" s="50">
        <v>12.807633333333333</v>
      </c>
      <c r="I22" s="16"/>
      <c r="J22" s="28">
        <v>16</v>
      </c>
      <c r="K22" s="5" t="s">
        <v>206</v>
      </c>
      <c r="L22" s="5" t="s">
        <v>22</v>
      </c>
      <c r="M22" s="50">
        <v>17.019816666666667</v>
      </c>
    </row>
    <row r="23" spans="1:13" ht="18" customHeight="1">
      <c r="A23" s="28">
        <v>17</v>
      </c>
      <c r="B23" s="5" t="s">
        <v>126</v>
      </c>
      <c r="C23" s="50">
        <v>7.0827833333333334</v>
      </c>
      <c r="D23" s="16"/>
      <c r="E23" s="28">
        <v>17</v>
      </c>
      <c r="F23" s="5" t="s">
        <v>196</v>
      </c>
      <c r="G23" s="5" t="s">
        <v>6</v>
      </c>
      <c r="H23" s="50">
        <v>12.549133333333334</v>
      </c>
      <c r="I23" s="16"/>
      <c r="J23" s="28">
        <v>17</v>
      </c>
      <c r="K23" s="5" t="s">
        <v>312</v>
      </c>
      <c r="L23" s="5" t="s">
        <v>63</v>
      </c>
      <c r="M23" s="50">
        <v>16.087783333333334</v>
      </c>
    </row>
    <row r="24" spans="1:13" ht="18" customHeight="1">
      <c r="A24" s="28">
        <v>18</v>
      </c>
      <c r="B24" s="5" t="s">
        <v>119</v>
      </c>
      <c r="C24" s="50">
        <v>6.6463833333333335</v>
      </c>
      <c r="D24" s="16"/>
      <c r="E24" s="28">
        <v>18</v>
      </c>
      <c r="F24" s="5" t="s">
        <v>213</v>
      </c>
      <c r="G24" s="5" t="s">
        <v>6</v>
      </c>
      <c r="H24" s="50">
        <v>12.446816666666667</v>
      </c>
      <c r="I24" s="16"/>
      <c r="J24" s="28">
        <v>18</v>
      </c>
      <c r="K24" s="5" t="s">
        <v>139</v>
      </c>
      <c r="L24" s="5" t="s">
        <v>9</v>
      </c>
      <c r="M24" s="50">
        <v>15.18975</v>
      </c>
    </row>
    <row r="25" spans="1:13" ht="18" customHeight="1">
      <c r="A25" s="28">
        <v>19</v>
      </c>
      <c r="B25" s="5" t="s">
        <v>108</v>
      </c>
      <c r="C25" s="50">
        <v>6.3846999999999996</v>
      </c>
      <c r="D25" s="16"/>
      <c r="E25" s="28">
        <v>19</v>
      </c>
      <c r="F25" s="5" t="s">
        <v>401</v>
      </c>
      <c r="G25" s="5" t="s">
        <v>7</v>
      </c>
      <c r="H25" s="50">
        <v>12.220683333333334</v>
      </c>
      <c r="I25" s="16"/>
      <c r="J25" s="28">
        <v>19</v>
      </c>
      <c r="K25" s="5" t="s">
        <v>195</v>
      </c>
      <c r="L25" s="5" t="s">
        <v>17</v>
      </c>
      <c r="M25" s="50">
        <v>14.25305</v>
      </c>
    </row>
    <row r="26" spans="1:13" ht="18" customHeight="1">
      <c r="A26" s="31">
        <v>20</v>
      </c>
      <c r="B26" s="32" t="s">
        <v>34</v>
      </c>
      <c r="C26" s="51">
        <v>6.2130999999999998</v>
      </c>
      <c r="D26" s="16"/>
      <c r="E26" s="31">
        <v>20</v>
      </c>
      <c r="F26" s="32" t="s">
        <v>265</v>
      </c>
      <c r="G26" s="32" t="s">
        <v>6</v>
      </c>
      <c r="H26" s="51">
        <v>11.5634</v>
      </c>
      <c r="I26" s="16"/>
      <c r="J26" s="31">
        <v>20</v>
      </c>
      <c r="K26" s="32" t="s">
        <v>290</v>
      </c>
      <c r="L26" s="32" t="s">
        <v>17</v>
      </c>
      <c r="M26" s="51">
        <v>12.42155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2025 Overview</vt:lpstr>
      <vt:lpstr>Top Artists Over Time</vt:lpstr>
      <vt:lpstr>Top 5 Chart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Mitchell</dc:creator>
  <cp:lastModifiedBy>Jennifer Mitchell</cp:lastModifiedBy>
  <dcterms:created xsi:type="dcterms:W3CDTF">2025-11-17T21:29:42Z</dcterms:created>
  <dcterms:modified xsi:type="dcterms:W3CDTF">2025-11-21T23:37:04Z</dcterms:modified>
</cp:coreProperties>
</file>